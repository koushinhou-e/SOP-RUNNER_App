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0127597\Desktop\"/>
    </mc:Choice>
  </mc:AlternateContent>
  <xr:revisionPtr revIDLastSave="0" documentId="8_{BF862DE4-F9BF-42D6-A205-85CD79C8702F}" xr6:coauthVersionLast="47" xr6:coauthVersionMax="47" xr10:uidLastSave="{00000000-0000-0000-0000-000000000000}"/>
  <bookViews>
    <workbookView xWindow="-38510" yWindow="-4560" windowWidth="38620" windowHeight="21100" firstSheet="1" activeTab="6" xr2:uid="{121B7119-6E0E-4DBA-B4AD-13037C2B24CD}"/>
  </bookViews>
  <sheets>
    <sheet name="ヒアリングシート(Windows)_old" sheetId="38" state="hidden" r:id="rId1"/>
    <sheet name="改版履歴" sheetId="46" r:id="rId2"/>
    <sheet name="ヒアリングシート(Windows)" sheetId="40" r:id="rId3"/>
    <sheet name="ユーザ共有シート(Windows)" sheetId="42" r:id="rId4"/>
    <sheet name="データ共有シート(Windows)" sheetId="14" r:id="rId5"/>
    <sheet name="データ管理シート" sheetId="31" r:id="rId6"/>
    <sheet name="管理帳登録用" sheetId="47" r:id="rId7"/>
  </sheets>
  <externalReferences>
    <externalReference r:id="rId8"/>
    <externalReference r:id="rId9"/>
    <externalReference r:id="rId10"/>
    <externalReference r:id="rId11"/>
    <externalReference r:id="rId12"/>
    <externalReference r:id="rId13"/>
  </externalReferences>
  <definedNames>
    <definedName name="[開発]運用管理" localSheetId="0">'ヒアリングシート(Windows)_old'!#REF!</definedName>
    <definedName name="[本番]運用管理" localSheetId="0">'ヒアリングシート(Windows)_old'!#REF!</definedName>
    <definedName name="_DA" localSheetId="0">#REF!</definedName>
    <definedName name="_DB" localSheetId="0">#REF!</definedName>
    <definedName name="_DC" localSheetId="0">#REF!</definedName>
    <definedName name="_xlnm._FilterDatabase" localSheetId="2" hidden="1">'ヒアリングシート(Windows)'!$C$90:$AA$90</definedName>
    <definedName name="_MA" localSheetId="0">#REF!</definedName>
    <definedName name="_MB" localSheetId="0">#REF!</definedName>
    <definedName name="_MC" localSheetId="0">#REF!</definedName>
    <definedName name="aa" localSheetId="0">[0]!業務終了</definedName>
    <definedName name="aaa" localSheetId="0">'ヒアリングシート(Windows)_old'!aaa</definedName>
    <definedName name="aaaa" localSheetId="0">'ヒアリングシート(Windows)_old'!aaaa</definedName>
    <definedName name="aaaaaaaaa" localSheetId="0">'ヒアリングシート(Windows)_old'!aaaaaaaaa</definedName>
    <definedName name="aaaaaaaaaa" localSheetId="0">'ヒアリングシート(Windows)_old'!aaaaaaaaaa</definedName>
    <definedName name="B" localSheetId="0">'ヒアリングシート(Windows)_old'!B</definedName>
    <definedName name="bb" localSheetId="0">'ヒアリングシート(Windows)_old'!bb</definedName>
    <definedName name="CCCCCCCC" localSheetId="0">'ヒアリングシート(Windows)_old'!CCCCCCCC</definedName>
    <definedName name="CDUPJ" localSheetId="0">#REF!</definedName>
    <definedName name="CDUPY" localSheetId="0">[1]ＵＴ２進捗管理表!#REF!</definedName>
    <definedName name="ＣＤ実績" localSheetId="0">#REF!</definedName>
    <definedName name="ＣＤ予定" localSheetId="0">#REF!</definedName>
    <definedName name="CHOHYO" localSheetId="0">#REF!</definedName>
    <definedName name="_xlnm.Criteria" localSheetId="0">#REF!</definedName>
    <definedName name="D" localSheetId="0">'ヒアリングシート(Windows)_old'!D</definedName>
    <definedName name="DB" localSheetId="0">#REF!</definedName>
    <definedName name="ｄｄ" localSheetId="0">#REF!</definedName>
    <definedName name="ddd" localSheetId="0">'ヒアリングシート(Windows)_old'!ddd</definedName>
    <definedName name="ｄｄｄｄｄｄｄ" localSheetId="0">#REF!</definedName>
    <definedName name="EEE" localSheetId="0">'ヒアリングシート(Windows)_old'!EEE</definedName>
    <definedName name="Endmsg2" localSheetId="0">'ヒアリングシート(Windows)_old'!Endmsg2</definedName>
    <definedName name="equipment.list" localSheetId="0">#REF!</definedName>
    <definedName name="ｆ" localSheetId="0">'ヒアリングシート(Windows)_old'!ｆ</definedName>
    <definedName name="G" localSheetId="0">'ヒアリングシート(Windows)_old'!G</definedName>
    <definedName name="GijutuShonin" localSheetId="0">#REF!</definedName>
    <definedName name="gomi" localSheetId="0">#REF!</definedName>
    <definedName name="H" localSheetId="0">'ヒアリングシート(Windows)_old'!H</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Count" hidden="1">1</definedName>
    <definedName name="Hyodai" localSheetId="0">#REF!</definedName>
    <definedName name="I" localSheetId="0">'ヒアリングシート(Windows)_old'!I</definedName>
    <definedName name="J" localSheetId="0">'ヒアリングシート(Windows)_old'!J</definedName>
    <definedName name="K" localSheetId="0">'ヒアリングシート(Windows)_old'!K</definedName>
    <definedName name="KAISTP" localSheetId="0">[1]ＵＴ２進捗管理表!#REF!</definedName>
    <definedName name="kubun" localSheetId="0">#REF!</definedName>
    <definedName name="MCLUPJ" localSheetId="0">#REF!</definedName>
    <definedName name="MCLUPY" localSheetId="0">#REF!</definedName>
    <definedName name="Module1.kousu_check" localSheetId="0">[2]!Module1.kousu_check</definedName>
    <definedName name="Module1.SEL_DEL" localSheetId="0">[3]!Module1.SEL_DEL</definedName>
    <definedName name="Module2.Dialogopen" localSheetId="0">[2]!Module2.Dialogopen</definedName>
    <definedName name="Module3.housin2" localSheetId="0">[4]!Module3.housin2</definedName>
    <definedName name="ＮＴサーバ総括表" localSheetId="0">'ヒアリングシート(Windows)_old'!ＮＴサーバ総括表</definedName>
    <definedName name="PCJUPJ" localSheetId="0">#REF!</definedName>
    <definedName name="PCLUPJ" localSheetId="0">#REF!</definedName>
    <definedName name="PCLUPY" localSheetId="0">#REF!</definedName>
    <definedName name="ＰＤ実績" localSheetId="0">#REF!</definedName>
    <definedName name="ＰＤ予定" localSheetId="0">#REF!</definedName>
    <definedName name="PP見積り" localSheetId="0">#REF!</definedName>
    <definedName name="print" localSheetId="0">'ヒアリングシート(Windows)_old'!print</definedName>
    <definedName name="_xlnm.Print_Area" localSheetId="0">#REF!</definedName>
    <definedName name="_xlnm.Print_Area" localSheetId="3">'ユーザ共有シート(Windows)'!$C$2:$F$66</definedName>
    <definedName name="print_out" localSheetId="0">'ヒアリングシート(Windows)_old'!print_out</definedName>
    <definedName name="print_out_NT" localSheetId="0">'ヒアリングシート(Windows)_old'!print_out_NT</definedName>
    <definedName name="_xlnm.Recorder" localSheetId="0">#REF!</definedName>
    <definedName name="rrr" localSheetId="0">#REF!</definedName>
    <definedName name="save" localSheetId="0">'ヒアリングシート(Windows)_old'!save</definedName>
    <definedName name="save1" localSheetId="0">'ヒアリングシート(Windows)_old'!save1</definedName>
    <definedName name="save1_NT" localSheetId="0">'ヒアリングシート(Windows)_old'!save1_NT</definedName>
    <definedName name="select" localSheetId="0">'ヒアリングシート(Windows)_old'!select</definedName>
    <definedName name="select_machin" localSheetId="0">'ヒアリングシート(Windows)_old'!select_machin</definedName>
    <definedName name="SHEET_COPY" localSheetId="0">[3]!SHEET_COPY</definedName>
    <definedName name="Sonata" localSheetId="0">#REF!</definedName>
    <definedName name="SPL" localSheetId="0">#REF!</definedName>
    <definedName name="SPL_SumNode1" localSheetId="0">#REF!</definedName>
    <definedName name="ｓｓ" localSheetId="0">#REF!</definedName>
    <definedName name="temp1" localSheetId="0">[0]!業務終了</definedName>
    <definedName name="temp2" localSheetId="0">[0]!業務終了</definedName>
    <definedName name="temp3" localSheetId="0">[0]!検索キーのファイル出力</definedName>
    <definedName name="TODAY1" localSheetId="0">[3]!TODAY1</definedName>
    <definedName name="TODAY2" localSheetId="0">'ヒアリングシート(Windows)_old'!TODAY2</definedName>
    <definedName name="today3" localSheetId="0">'ヒアリングシート(Windows)_old'!today3</definedName>
    <definedName name="UTUPJ" localSheetId="0">#REF!</definedName>
    <definedName name="UTUPY" localSheetId="0">#REF!</definedName>
    <definedName name="voip" localSheetId="0">#REF!</definedName>
    <definedName name="VRS" localSheetId="0">#REF!</definedName>
    <definedName name="wrn.confshet." localSheetId="5"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0"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S_PCの換算生産量" localSheetId="0">#REF!</definedName>
    <definedName name="WS_PCの総原価" localSheetId="0">#REF!</definedName>
    <definedName name="WS_PCの総工数" localSheetId="0">#REF!</definedName>
    <definedName name="YKIBOE" localSheetId="0">#REF!</definedName>
    <definedName name="YKIBOK" localSheetId="0">[1]ＵＴ２進捗管理表!#REF!</definedName>
    <definedName name="yosan" localSheetId="0">[5]!yosan</definedName>
    <definedName name="Z_41442F1C_71A4_447E_AF0E_8FB51FC7D99F_.wvu.Cols" localSheetId="5" hidden="1">#REF!,#REF!,#REF!,#REF!</definedName>
    <definedName name="Z_41442F1C_71A4_447E_AF0E_8FB51FC7D99F_.wvu.Cols" localSheetId="4" hidden="1">#REF!,#REF!,#REF!,#REF!</definedName>
    <definedName name="Z_41442F1C_71A4_447E_AF0E_8FB51FC7D99F_.wvu.Cols" localSheetId="2" hidden="1">#REF!,#REF!,#REF!,#REF!</definedName>
    <definedName name="Z_41442F1C_71A4_447E_AF0E_8FB51FC7D99F_.wvu.Cols" localSheetId="0" hidden="1">#REF!,#REF!,#REF!,#REF!</definedName>
    <definedName name="Z_41442F1C_71A4_447E_AF0E_8FB51FC7D99F_.wvu.Cols" localSheetId="1" hidden="1">#REF!,#REF!,#REF!,#REF!</definedName>
    <definedName name="Z_41442F1C_71A4_447E_AF0E_8FB51FC7D99F_.wvu.Cols" hidden="1">#REF!,#REF!,#REF!,#REF!</definedName>
    <definedName name="Z_41442F1C_71A4_447E_AF0E_8FB51FC7D99F_.wvu.PrintArea" localSheetId="5" hidden="1">#REF!</definedName>
    <definedName name="Z_41442F1C_71A4_447E_AF0E_8FB51FC7D99F_.wvu.PrintArea" localSheetId="4" hidden="1">#REF!</definedName>
    <definedName name="Z_41442F1C_71A4_447E_AF0E_8FB51FC7D99F_.wvu.PrintArea" localSheetId="2" hidden="1">#REF!</definedName>
    <definedName name="Z_41442F1C_71A4_447E_AF0E_8FB51FC7D99F_.wvu.PrintArea" localSheetId="0" hidden="1">#REF!</definedName>
    <definedName name="Z_41442F1C_71A4_447E_AF0E_8FB51FC7D99F_.wvu.PrintArea" localSheetId="1" hidden="1">#REF!</definedName>
    <definedName name="Z_41442F1C_71A4_447E_AF0E_8FB51FC7D99F_.wvu.PrintArea" hidden="1">#REF!</definedName>
    <definedName name="Z_95018DD7_A252_45F5_975C_C5433E2F88AC_.wvu.Cols" localSheetId="5" hidden="1">#REF!,#REF!</definedName>
    <definedName name="Z_95018DD7_A252_45F5_975C_C5433E2F88AC_.wvu.Cols" localSheetId="4" hidden="1">#REF!,#REF!</definedName>
    <definedName name="Z_95018DD7_A252_45F5_975C_C5433E2F88AC_.wvu.Cols" localSheetId="2" hidden="1">#REF!,#REF!</definedName>
    <definedName name="Z_95018DD7_A252_45F5_975C_C5433E2F88AC_.wvu.Cols" localSheetId="0" hidden="1">#REF!,#REF!</definedName>
    <definedName name="Z_95018DD7_A252_45F5_975C_C5433E2F88AC_.wvu.Cols" localSheetId="1" hidden="1">#REF!,#REF!</definedName>
    <definedName name="Z_95018DD7_A252_45F5_975C_C5433E2F88AC_.wvu.Cols" hidden="1">#REF!,#REF!</definedName>
    <definedName name="Z_95018DD7_A252_45F5_975C_C5433E2F88AC_.wvu.PrintArea" localSheetId="5" hidden="1">#REF!</definedName>
    <definedName name="Z_95018DD7_A252_45F5_975C_C5433E2F88AC_.wvu.PrintArea" localSheetId="4" hidden="1">#REF!</definedName>
    <definedName name="Z_95018DD7_A252_45F5_975C_C5433E2F88AC_.wvu.PrintArea" localSheetId="2" hidden="1">#REF!</definedName>
    <definedName name="Z_95018DD7_A252_45F5_975C_C5433E2F88AC_.wvu.PrintArea" localSheetId="0" hidden="1">#REF!</definedName>
    <definedName name="Z_95018DD7_A252_45F5_975C_C5433E2F88AC_.wvu.PrintArea" localSheetId="1" hidden="1">#REF!</definedName>
    <definedName name="Z_95018DD7_A252_45F5_975C_C5433E2F88AC_.wvu.PrintArea" hidden="1">#REF!</definedName>
    <definedName name="Z_D062575E_61A0_4998_AF07_E741A5E67EFF_.wvu.Cols" localSheetId="5" hidden="1">#REF!</definedName>
    <definedName name="Z_D062575E_61A0_4998_AF07_E741A5E67EFF_.wvu.Cols" localSheetId="2" hidden="1">#REF!</definedName>
    <definedName name="Z_D062575E_61A0_4998_AF07_E741A5E67EFF_.wvu.Cols" localSheetId="0" hidden="1">#REF!</definedName>
    <definedName name="Z_D062575E_61A0_4998_AF07_E741A5E67EFF_.wvu.Cols" localSheetId="1" hidden="1">#REF!</definedName>
    <definedName name="Z_D062575E_61A0_4998_AF07_E741A5E67EFF_.wvu.Cols" hidden="1">#REF!</definedName>
    <definedName name="Z_D062575E_61A0_4998_AF07_E741A5E67EFF_.wvu.PrintArea" localSheetId="5" hidden="1">#REF!</definedName>
    <definedName name="Z_D062575E_61A0_4998_AF07_E741A5E67EFF_.wvu.PrintArea" localSheetId="2" hidden="1">#REF!</definedName>
    <definedName name="Z_D062575E_61A0_4998_AF07_E741A5E67EFF_.wvu.PrintArea" localSheetId="0" hidden="1">#REF!</definedName>
    <definedName name="Z_D062575E_61A0_4998_AF07_E741A5E67EFF_.wvu.PrintArea" localSheetId="1" hidden="1">#REF!</definedName>
    <definedName name="Z_D062575E_61A0_4998_AF07_E741A5E67EFF_.wvu.PrintArea" hidden="1">#REF!</definedName>
    <definedName name="ZZZ" localSheetId="0">[6]!Endmsg2</definedName>
    <definedName name="あ" localSheetId="5" hidden="1">{#N/A,#N/A,FALSE,"連絡先";#N/A,#N/A,FALSE,"ﾊｰﾄﾞｿﾌﾄ環境";#N/A,#N/A,FALSE,"IP･ﾌﾟﾛﾄｺﾙの設定";#N/A,#N/A,FALSE,"各種設定";#N/A,#N/A,FALSE,"OSPF";#N/A,#N/A,FALSE,"X25";#N/A,#N/A,FALSE,"FrameRelay";#N/A,#N/A,FALSE,"ATM"}</definedName>
    <definedName name="あ" localSheetId="4" hidden="1">{#N/A,#N/A,FALSE,"連絡先";#N/A,#N/A,FALSE,"ﾊｰﾄﾞｿﾌﾄ環境";#N/A,#N/A,FALSE,"IP･ﾌﾟﾛﾄｺﾙの設定";#N/A,#N/A,FALSE,"各種設定";#N/A,#N/A,FALSE,"OSPF";#N/A,#N/A,FALSE,"X25";#N/A,#N/A,FALSE,"FrameRelay";#N/A,#N/A,FALSE,"ATM"}</definedName>
    <definedName name="あ" localSheetId="2" hidden="1">{#N/A,#N/A,FALSE,"連絡先";#N/A,#N/A,FALSE,"ﾊｰﾄﾞｿﾌﾄ環境";#N/A,#N/A,FALSE,"IP･ﾌﾟﾛﾄｺﾙの設定";#N/A,#N/A,FALSE,"各種設定";#N/A,#N/A,FALSE,"OSPF";#N/A,#N/A,FALSE,"X25";#N/A,#N/A,FALSE,"FrameRelay";#N/A,#N/A,FALSE,"ATM"}</definedName>
    <definedName name="あ" localSheetId="0" hidden="1">{#N/A,#N/A,FALSE,"連絡先";#N/A,#N/A,FALSE,"ﾊｰﾄﾞｿﾌﾄ環境";#N/A,#N/A,FALSE,"IP･ﾌﾟﾛﾄｺﾙの設定";#N/A,#N/A,FALSE,"各種設定";#N/A,#N/A,FALSE,"OSPF";#N/A,#N/A,FALSE,"X25";#N/A,#N/A,FALSE,"FrameRelay";#N/A,#N/A,FALSE,"ATM"}</definedName>
    <definedName name="あ" localSheetId="1" hidden="1">{#N/A,#N/A,FALSE,"連絡先";#N/A,#N/A,FALSE,"ﾊｰﾄﾞｿﾌﾄ環境";#N/A,#N/A,FALSE,"IP･ﾌﾟﾛﾄｺﾙの設定";#N/A,#N/A,FALSE,"各種設定";#N/A,#N/A,FALSE,"OSPF";#N/A,#N/A,FALSE,"X25";#N/A,#N/A,FALSE,"FrameRelay";#N/A,#N/A,FALSE,"ATM"}</definedName>
    <definedName name="あ" hidden="1">{#N/A,#N/A,FALSE,"連絡先";#N/A,#N/A,FALSE,"ﾊｰﾄﾞｿﾌﾄ環境";#N/A,#N/A,FALSE,"IP･ﾌﾟﾛﾄｺﾙの設定";#N/A,#N/A,FALSE,"各種設定";#N/A,#N/A,FALSE,"OSPF";#N/A,#N/A,FALSE,"X25";#N/A,#N/A,FALSE,"FrameRelay";#N/A,#N/A,FALSE,"ATM"}</definedName>
    <definedName name="あ１" localSheetId="0">#REF!</definedName>
    <definedName name="あ１２" localSheetId="0">#REF!</definedName>
    <definedName name="あ２３" localSheetId="5" hidden="1">{#N/A,#N/A,FALSE,"連絡先";#N/A,#N/A,FALSE,"ﾊｰﾄﾞｿﾌﾄ環境";#N/A,#N/A,FALSE,"IP･ﾌﾟﾛﾄｺﾙの設定";#N/A,#N/A,FALSE,"各種設定";#N/A,#N/A,FALSE,"OSPF";#N/A,#N/A,FALSE,"X25";#N/A,#N/A,FALSE,"FrameRelay";#N/A,#N/A,FALSE,"ATM"}</definedName>
    <definedName name="あ２３" localSheetId="4" hidden="1">{#N/A,#N/A,FALSE,"連絡先";#N/A,#N/A,FALSE,"ﾊｰﾄﾞｿﾌﾄ環境";#N/A,#N/A,FALSE,"IP･ﾌﾟﾛﾄｺﾙの設定";#N/A,#N/A,FALSE,"各種設定";#N/A,#N/A,FALSE,"OSPF";#N/A,#N/A,FALSE,"X25";#N/A,#N/A,FALSE,"FrameRelay";#N/A,#N/A,FALSE,"ATM"}</definedName>
    <definedName name="あ２３" localSheetId="2" hidden="1">{#N/A,#N/A,FALSE,"連絡先";#N/A,#N/A,FALSE,"ﾊｰﾄﾞｿﾌﾄ環境";#N/A,#N/A,FALSE,"IP･ﾌﾟﾛﾄｺﾙの設定";#N/A,#N/A,FALSE,"各種設定";#N/A,#N/A,FALSE,"OSPF";#N/A,#N/A,FALSE,"X25";#N/A,#N/A,FALSE,"FrameRelay";#N/A,#N/A,FALSE,"ATM"}</definedName>
    <definedName name="あ２３" localSheetId="0" hidden="1">{#N/A,#N/A,FALSE,"連絡先";#N/A,#N/A,FALSE,"ﾊｰﾄﾞｿﾌﾄ環境";#N/A,#N/A,FALSE,"IP･ﾌﾟﾛﾄｺﾙの設定";#N/A,#N/A,FALSE,"各種設定";#N/A,#N/A,FALSE,"OSPF";#N/A,#N/A,FALSE,"X25";#N/A,#N/A,FALSE,"FrameRelay";#N/A,#N/A,FALSE,"ATM"}</definedName>
    <definedName name="あ２３" localSheetId="1"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ｓｄ" localSheetId="5"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localSheetId="2" hidden="1">{#N/A,#N/A,FALSE,"連絡先";#N/A,#N/A,FALSE,"ﾊｰﾄﾞｿﾌﾄ環境";#N/A,#N/A,FALSE,"IP･ﾌﾟﾛﾄｺﾙの設定";#N/A,#N/A,FALSE,"各種設定";#N/A,#N/A,FALSE,"OSPF";#N/A,#N/A,FALSE,"X25";#N/A,#N/A,FALSE,"FrameRelay";#N/A,#N/A,FALSE,"ATM"}</definedName>
    <definedName name="あｓｄ" localSheetId="0" hidden="1">{#N/A,#N/A,FALSE,"連絡先";#N/A,#N/A,FALSE,"ﾊｰﾄﾞｿﾌﾄ環境";#N/A,#N/A,FALSE,"IP･ﾌﾟﾛﾄｺﾙの設定";#N/A,#N/A,FALSE,"各種設定";#N/A,#N/A,FALSE,"OSPF";#N/A,#N/A,FALSE,"X25";#N/A,#N/A,FALSE,"FrameRelay";#N/A,#N/A,FALSE,"ATM"}</definedName>
    <definedName name="あｓｄ" localSheetId="1"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あ" localSheetId="5" hidden="1">{#N/A,#N/A,FALSE,"連絡先";#N/A,#N/A,FALSE,"ﾊｰﾄﾞｿﾌﾄ環境";#N/A,#N/A,FALSE,"IP･ﾌﾟﾛﾄｺﾙの設定";#N/A,#N/A,FALSE,"各種設定";#N/A,#N/A,FALSE,"OSPF";#N/A,#N/A,FALSE,"X25";#N/A,#N/A,FALSE,"FrameRelay";#N/A,#N/A,FALSE,"ATM"}</definedName>
    <definedName name="あああ" localSheetId="4" hidden="1">{#N/A,#N/A,FALSE,"連絡先";#N/A,#N/A,FALSE,"ﾊｰﾄﾞｿﾌﾄ環境";#N/A,#N/A,FALSE,"IP･ﾌﾟﾛﾄｺﾙの設定";#N/A,#N/A,FALSE,"各種設定";#N/A,#N/A,FALSE,"OSPF";#N/A,#N/A,FALSE,"X25";#N/A,#N/A,FALSE,"FrameRelay";#N/A,#N/A,FALSE,"ATM"}</definedName>
    <definedName name="あああ" localSheetId="2" hidden="1">{#N/A,#N/A,FALSE,"連絡先";#N/A,#N/A,FALSE,"ﾊｰﾄﾞｿﾌﾄ環境";#N/A,#N/A,FALSE,"IP･ﾌﾟﾛﾄｺﾙの設定";#N/A,#N/A,FALSE,"各種設定";#N/A,#N/A,FALSE,"OSPF";#N/A,#N/A,FALSE,"X25";#N/A,#N/A,FALSE,"FrameRelay";#N/A,#N/A,FALSE,"ATM"}</definedName>
    <definedName name="あああ" localSheetId="0" hidden="1">{#N/A,#N/A,FALSE,"連絡先";#N/A,#N/A,FALSE,"ﾊｰﾄﾞｿﾌﾄ環境";#N/A,#N/A,FALSE,"IP･ﾌﾟﾛﾄｺﾙの設定";#N/A,#N/A,FALSE,"各種設定";#N/A,#N/A,FALSE,"OSPF";#N/A,#N/A,FALSE,"X25";#N/A,#N/A,FALSE,"FrameRelay";#N/A,#N/A,FALSE,"ATM"}</definedName>
    <definedName name="あああ" localSheetId="1" hidden="1">{#N/A,#N/A,FALSE,"連絡先";#N/A,#N/A,FALSE,"ﾊｰﾄﾞｿﾌﾄ環境";#N/A,#N/A,FALSE,"IP･ﾌﾟﾛﾄｺﾙの設定";#N/A,#N/A,FALSE,"各種設定";#N/A,#N/A,FALSE,"OSPF";#N/A,#N/A,FALSE,"X25";#N/A,#N/A,FALSE,"FrameRelay";#N/A,#N/A,FALSE,"ATM"}</definedName>
    <definedName name="あああ" hidden="1">{#N/A,#N/A,FALSE,"連絡先";#N/A,#N/A,FALSE,"ﾊｰﾄﾞｿﾌﾄ環境";#N/A,#N/A,FALSE,"IP･ﾌﾟﾛﾄｺﾙの設定";#N/A,#N/A,FALSE,"各種設定";#N/A,#N/A,FALSE,"OSPF";#N/A,#N/A,FALSE,"X25";#N/A,#N/A,FALSE,"FrameRelay";#N/A,#N/A,FALSE,"ATM"}</definedName>
    <definedName name="ああああ" localSheetId="0">'ヒアリングシート(Windows)_old'!ああああ</definedName>
    <definedName name="シート２_DB" localSheetId="0">#REF!</definedName>
    <definedName name="ピクチャ" localSheetId="0">#REF!</definedName>
    <definedName name="ﾒｲﾝﾌﾚｰﾑの換算生産量" localSheetId="0">#REF!</definedName>
    <definedName name="ﾒｲﾝﾌﾚｰﾑの総原価" localSheetId="0">#REF!</definedName>
    <definedName name="ﾒｲﾝﾌﾚｰﾑの総工数" localSheetId="0">#REF!</definedName>
    <definedName name="印刷範囲" localSheetId="0">#REF!</definedName>
    <definedName name="延滞重要" localSheetId="0">#REF!</definedName>
    <definedName name="延滞優先予定" localSheetId="0">#REF!</definedName>
    <definedName name="貴社向単価" localSheetId="0">#REF!</definedName>
    <definedName name="業務終了２" localSheetId="0">[0]!業務終了</definedName>
    <definedName name="形式" localSheetId="0">#REF!</definedName>
    <definedName name="原低額" localSheetId="0">#REF!</definedName>
    <definedName name="工数計" localSheetId="0">#REF!</definedName>
    <definedName name="項番" localSheetId="0">#REF!</definedName>
    <definedName name="新しい" localSheetId="0">#REF!</definedName>
    <definedName name="新規構成印刷ｻｰﾊﾞ" localSheetId="0">'ヒアリングシート(Windows)_old'!新規構成印刷ｻｰﾊﾞ</definedName>
    <definedName name="製造原価" localSheetId="0">#REF!</definedName>
    <definedName name="製品種目" localSheetId="0">#REF!</definedName>
    <definedName name="全ての換算生産量" localSheetId="0">#REF!</definedName>
    <definedName name="全ての総原価" localSheetId="0">#REF!</definedName>
    <definedName name="全ての総工数" localSheetId="0">#REF!</definedName>
    <definedName name="単価" localSheetId="0">#REF!</definedName>
    <definedName name="提出値" localSheetId="0">#REF!</definedName>
    <definedName name="統合" localSheetId="0">'ヒアリングシート(Windows)_old'!統合</definedName>
    <definedName name="発注予定月" localSheetId="0">#REF!</definedName>
    <definedName name="部" localSheetId="0">#REF!</definedName>
    <definedName name="別紙１．プログラム規模一覧ＤＤ後" localSheetId="0">#REF!</definedName>
    <definedName name="別紙追加" localSheetId="0">'ヒアリングシート(Windows)_old'!別紙追加</definedName>
    <definedName name="本番内部スタンダード" localSheetId="0">'ヒアリングシート(Windows)_old'!#REF!</definedName>
    <definedName name="領域" localSheetId="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9" i="40" l="1" a="1"/>
  <c r="L119" i="40" s="1"/>
  <c r="D80" i="31"/>
  <c r="L291" i="40"/>
  <c r="L267" i="40"/>
  <c r="D79" i="31"/>
  <c r="D78" i="31"/>
  <c r="I538" i="31" l="1"/>
  <c r="I539" i="31"/>
  <c r="I540" i="31"/>
  <c r="I541" i="31"/>
  <c r="I531" i="31"/>
  <c r="I532" i="31"/>
  <c r="I533" i="31"/>
  <c r="I534" i="31"/>
  <c r="G49" i="14" l="1"/>
  <c r="L271" i="40"/>
  <c r="G48" i="14" s="1"/>
  <c r="L275" i="40"/>
  <c r="L274" i="40"/>
  <c r="L273" i="40"/>
  <c r="I524" i="31" l="1"/>
  <c r="I525" i="31"/>
  <c r="I526" i="31"/>
  <c r="I527" i="31"/>
  <c r="I517" i="31"/>
  <c r="I518" i="31"/>
  <c r="I519" i="31"/>
  <c r="I520" i="31"/>
  <c r="D59" i="31"/>
  <c r="I510" i="31"/>
  <c r="I511" i="31"/>
  <c r="I512" i="31"/>
  <c r="I513" i="31"/>
  <c r="I501" i="31"/>
  <c r="I502" i="31"/>
  <c r="I503" i="31"/>
  <c r="I504" i="31"/>
  <c r="I505" i="31"/>
  <c r="I506" i="31"/>
  <c r="I497" i="31"/>
  <c r="I492" i="31"/>
  <c r="I493" i="31"/>
  <c r="I494" i="31"/>
  <c r="I495" i="31"/>
  <c r="I496" i="31"/>
  <c r="D76" i="31"/>
  <c r="D75" i="31"/>
  <c r="D74" i="31"/>
  <c r="D73" i="31"/>
  <c r="D66" i="31"/>
  <c r="D77" i="31"/>
  <c r="D58" i="31"/>
  <c r="B276" i="31"/>
  <c r="B277" i="31"/>
  <c r="B278" i="31"/>
  <c r="B279" i="31"/>
  <c r="B280" i="31"/>
  <c r="I345" i="31" l="1"/>
  <c r="I346" i="31"/>
  <c r="I347" i="31"/>
  <c r="I348" i="31"/>
  <c r="B289" i="31"/>
  <c r="B290" i="31"/>
  <c r="B291" i="31"/>
  <c r="B292" i="31"/>
  <c r="B293" i="31"/>
  <c r="B294" i="31"/>
  <c r="B295" i="31"/>
  <c r="B296" i="31"/>
  <c r="B297" i="31"/>
  <c r="B250" i="31"/>
  <c r="B251" i="31"/>
  <c r="B252" i="31"/>
  <c r="B253" i="31"/>
  <c r="B254" i="31"/>
  <c r="B255" i="31"/>
  <c r="B256" i="31"/>
  <c r="B257" i="31"/>
  <c r="B258" i="31"/>
  <c r="I478" i="31"/>
  <c r="I479" i="31"/>
  <c r="I480" i="31"/>
  <c r="I481" i="31"/>
  <c r="I485" i="31"/>
  <c r="I486" i="31"/>
  <c r="I487" i="31"/>
  <c r="I488" i="31"/>
  <c r="D56" i="31"/>
  <c r="D57" i="31"/>
  <c r="L285" i="40" l="1"/>
  <c r="L266" i="40"/>
  <c r="G46" i="14" s="1"/>
  <c r="G47" i="14"/>
  <c r="L262" i="40"/>
  <c r="L261" i="40"/>
  <c r="L270" i="40"/>
  <c r="L269" i="40"/>
  <c r="L268" i="40"/>
  <c r="L256" i="40" a="1"/>
  <c r="L256" i="40" s="1"/>
  <c r="G42" i="14" s="1"/>
  <c r="L226" i="40" a="1"/>
  <c r="L226" i="40" s="1"/>
  <c r="L247" i="40"/>
  <c r="G39" i="14" s="1"/>
  <c r="L252" i="40"/>
  <c r="L251" i="40"/>
  <c r="L246" i="40"/>
  <c r="L309" i="40" a="1"/>
  <c r="L309" i="40" s="1"/>
  <c r="G66" i="14" s="1"/>
  <c r="L241" i="40" l="1" a="1"/>
  <c r="L241" i="40" s="1"/>
  <c r="D63" i="31"/>
  <c r="D45" i="31"/>
  <c r="I332" i="31"/>
  <c r="I333" i="31"/>
  <c r="I334" i="31"/>
  <c r="I335" i="31"/>
  <c r="I336" i="31"/>
  <c r="L554" i="40"/>
  <c r="L449" i="40"/>
  <c r="F54" i="42"/>
  <c r="F52" i="42"/>
  <c r="F51" i="42"/>
  <c r="F50" i="42"/>
  <c r="F49" i="42"/>
  <c r="F48" i="42"/>
  <c r="F46" i="42"/>
  <c r="F45" i="42"/>
  <c r="F44" i="42"/>
  <c r="F43" i="42"/>
  <c r="F64" i="42"/>
  <c r="F63" i="42"/>
  <c r="F62" i="42"/>
  <c r="F61" i="42"/>
  <c r="F60" i="42"/>
  <c r="F59" i="42"/>
  <c r="F55" i="42"/>
  <c r="F24" i="42"/>
  <c r="F19" i="42"/>
  <c r="F18" i="42"/>
  <c r="F17" i="42"/>
  <c r="F15" i="42"/>
  <c r="F13" i="42"/>
  <c r="F11" i="42"/>
  <c r="F10" i="42"/>
  <c r="F4" i="42"/>
  <c r="F3" i="42"/>
  <c r="L242" i="40" l="1"/>
  <c r="G36" i="14"/>
  <c r="L310" i="40"/>
  <c r="G67" i="14" s="1"/>
  <c r="L122" i="40" a="1"/>
  <c r="L122" i="40" s="1"/>
  <c r="G8" i="14"/>
  <c r="L102" i="40" a="1"/>
  <c r="L102" i="40" s="1"/>
  <c r="L101" i="40" a="1"/>
  <c r="L101" i="40" s="1"/>
  <c r="F37" i="42"/>
  <c r="L544" i="40"/>
  <c r="F5" i="42" l="1"/>
  <c r="L257" i="40"/>
  <c r="G43" i="14" s="1"/>
  <c r="F9" i="42"/>
  <c r="G269" i="14"/>
  <c r="G265" i="14" l="1"/>
  <c r="G264" i="14"/>
  <c r="L539" i="40" l="1"/>
  <c r="L538" i="40"/>
  <c r="L537" i="40"/>
  <c r="L536" i="40"/>
  <c r="G263" i="14" s="1"/>
  <c r="L535" i="40"/>
  <c r="G262" i="14" s="1"/>
  <c r="L534" i="40"/>
  <c r="G253" i="14" s="1"/>
  <c r="G270" i="14" s="1"/>
  <c r="L545" i="40"/>
  <c r="L533" i="40"/>
  <c r="G252" i="14" s="1"/>
  <c r="I469" i="31"/>
  <c r="I470" i="31"/>
  <c r="I471" i="31"/>
  <c r="I472" i="31"/>
  <c r="I473" i="31"/>
  <c r="I468" i="31"/>
  <c r="I464" i="31"/>
  <c r="I460" i="31"/>
  <c r="I461" i="31"/>
  <c r="I462" i="31"/>
  <c r="I463" i="31"/>
  <c r="I459" i="31"/>
  <c r="D48" i="31"/>
  <c r="L280" i="40" a="1"/>
  <c r="L280" i="40" s="1"/>
  <c r="F16" i="42" l="1"/>
  <c r="L457" i="40" a="1"/>
  <c r="L457" i="40" s="1"/>
  <c r="L199" i="40"/>
  <c r="L282" i="40"/>
  <c r="L265" i="40"/>
  <c r="L264" i="40"/>
  <c r="L263" i="40"/>
  <c r="L260" i="40"/>
  <c r="L259" i="40"/>
  <c r="L258" i="40"/>
  <c r="L255" i="40"/>
  <c r="L254" i="40"/>
  <c r="L253" i="40"/>
  <c r="L250" i="40"/>
  <c r="L249" i="40"/>
  <c r="L248" i="40"/>
  <c r="L245" i="40"/>
  <c r="L244" i="40"/>
  <c r="L243" i="40"/>
  <c r="L240" i="40"/>
  <c r="L239" i="40"/>
  <c r="L238" i="40"/>
  <c r="L235" i="40"/>
  <c r="L234" i="40"/>
  <c r="L233" i="40"/>
  <c r="L230" i="40"/>
  <c r="L229" i="40"/>
  <c r="L228" i="40"/>
  <c r="B298" i="31"/>
  <c r="B299" i="31"/>
  <c r="B300" i="31"/>
  <c r="B301" i="31"/>
  <c r="B302" i="31"/>
  <c r="B303" i="31"/>
  <c r="B304" i="31"/>
  <c r="B305" i="31"/>
  <c r="B306" i="31"/>
  <c r="B241" i="31"/>
  <c r="B242" i="31"/>
  <c r="B243" i="31"/>
  <c r="B244" i="31"/>
  <c r="B245" i="31"/>
  <c r="B246" i="31"/>
  <c r="B247" i="31"/>
  <c r="B248" i="31"/>
  <c r="B249" i="31"/>
  <c r="F56" i="42" l="1"/>
  <c r="G17" i="14"/>
  <c r="L458" i="40"/>
  <c r="F41" i="42"/>
  <c r="L461" i="40"/>
  <c r="L462" i="40" s="1"/>
  <c r="L129" i="40" l="1"/>
  <c r="L451" i="40"/>
  <c r="F40" i="42" l="1"/>
  <c r="F47" i="42"/>
  <c r="L453" i="40"/>
  <c r="L454" i="40" s="1"/>
  <c r="F14" i="42"/>
  <c r="G52" i="14"/>
  <c r="G51" i="14"/>
  <c r="G21" i="14"/>
  <c r="G14" i="14"/>
  <c r="G7" i="14"/>
  <c r="G13" i="14"/>
  <c r="L302" i="40"/>
  <c r="F34" i="42" s="1"/>
  <c r="L290" i="40"/>
  <c r="L208" i="40"/>
  <c r="L210" i="40" s="1"/>
  <c r="L143" i="40"/>
  <c r="L142" i="40"/>
  <c r="F35" i="42" l="1"/>
  <c r="G59" i="14"/>
  <c r="G58" i="14"/>
  <c r="L211" i="40"/>
  <c r="L212" i="40"/>
  <c r="L213" i="40"/>
  <c r="L214" i="40"/>
  <c r="L215" i="40"/>
  <c r="G23" i="14"/>
  <c r="G22" i="14"/>
  <c r="G11" i="14"/>
  <c r="L236" i="40" l="1" a="1"/>
  <c r="L236" i="40" s="1"/>
  <c r="L231" i="40" a="1"/>
  <c r="L231" i="40" s="1"/>
  <c r="F12" i="42"/>
  <c r="L232" i="40" l="1"/>
  <c r="L227" i="40"/>
  <c r="L431" i="40"/>
  <c r="G220" i="14" s="1"/>
  <c r="L446" i="40"/>
  <c r="G239" i="14" s="1"/>
  <c r="L401" i="40"/>
  <c r="G182" i="14" s="1"/>
  <c r="L416" i="40"/>
  <c r="G201" i="14" s="1"/>
  <c r="L371" i="40"/>
  <c r="G144" i="14" s="1"/>
  <c r="L386" i="40"/>
  <c r="G163" i="14" s="1"/>
  <c r="L341" i="40"/>
  <c r="G106" i="14" s="1"/>
  <c r="L356" i="40"/>
  <c r="G125" i="14" s="1"/>
  <c r="L311" i="40"/>
  <c r="G68" i="14" s="1"/>
  <c r="L326" i="40"/>
  <c r="G87" i="14" s="1"/>
  <c r="F6" i="42"/>
  <c r="L307" i="40"/>
  <c r="G64" i="14" s="1"/>
  <c r="F36" i="42"/>
  <c r="L305" i="40"/>
  <c r="G62" i="14" s="1"/>
  <c r="F7" i="42"/>
  <c r="F8" i="42" l="1"/>
  <c r="L459" i="40"/>
  <c r="L126" i="40"/>
  <c r="G9" i="14"/>
  <c r="G10" i="14"/>
  <c r="B267" i="31" l="1"/>
  <c r="B268" i="31"/>
  <c r="B269" i="31"/>
  <c r="B270" i="31"/>
  <c r="B271" i="31"/>
  <c r="B272" i="31"/>
  <c r="B273" i="31"/>
  <c r="B274" i="31"/>
  <c r="B275" i="31"/>
  <c r="L295" i="40" l="1"/>
  <c r="F58" i="42" s="1"/>
  <c r="G45" i="14"/>
  <c r="G44" i="14"/>
  <c r="G41" i="14"/>
  <c r="G40" i="14"/>
  <c r="G38" i="14"/>
  <c r="G28" i="14" l="1"/>
  <c r="G16" i="14" l="1"/>
  <c r="G19" i="14" l="1"/>
  <c r="G3" i="14"/>
  <c r="G25" i="14"/>
  <c r="F33" i="42"/>
  <c r="F32" i="42"/>
  <c r="F31" i="42"/>
  <c r="F30" i="42"/>
  <c r="F29" i="42"/>
  <c r="F28" i="42"/>
  <c r="F27" i="42"/>
  <c r="F26" i="42"/>
  <c r="F25" i="42"/>
  <c r="L217" i="40"/>
  <c r="L419" i="40"/>
  <c r="L429" i="40" s="1" a="1"/>
  <c r="L429" i="40" s="1"/>
  <c r="L190" i="40"/>
  <c r="L181" i="40"/>
  <c r="L172" i="40"/>
  <c r="L163" i="40"/>
  <c r="L154" i="40"/>
  <c r="L145" i="40"/>
  <c r="L136" i="40"/>
  <c r="L299" i="40" s="1"/>
  <c r="L303" i="40" s="1"/>
  <c r="L141" i="40"/>
  <c r="G57" i="14" s="1"/>
  <c r="L140" i="40"/>
  <c r="G56" i="14" s="1"/>
  <c r="L139" i="40"/>
  <c r="G55" i="14" s="1"/>
  <c r="L138" i="40"/>
  <c r="G54" i="14" s="1"/>
  <c r="L137" i="40"/>
  <c r="G60" i="14" l="1"/>
  <c r="L430" i="40"/>
  <c r="G218" i="14"/>
  <c r="L427" i="40"/>
  <c r="L434" i="40"/>
  <c r="L221" i="40"/>
  <c r="L220" i="40"/>
  <c r="L222" i="40"/>
  <c r="L219" i="40"/>
  <c r="L224" i="40"/>
  <c r="L223" i="40"/>
  <c r="L404" i="40"/>
  <c r="L206" i="40"/>
  <c r="L205" i="40"/>
  <c r="L204" i="40"/>
  <c r="L203" i="40"/>
  <c r="L202" i="40"/>
  <c r="L201" i="40"/>
  <c r="L389" i="40"/>
  <c r="L196" i="40"/>
  <c r="L195" i="40"/>
  <c r="L194" i="40"/>
  <c r="L193" i="40"/>
  <c r="L192" i="40"/>
  <c r="L197" i="40"/>
  <c r="L374" i="40"/>
  <c r="L185" i="40"/>
  <c r="L184" i="40"/>
  <c r="L183" i="40"/>
  <c r="L186" i="40"/>
  <c r="L188" i="40"/>
  <c r="L187" i="40"/>
  <c r="L359" i="40"/>
  <c r="L174" i="40"/>
  <c r="L179" i="40"/>
  <c r="L178" i="40"/>
  <c r="L177" i="40"/>
  <c r="L176" i="40"/>
  <c r="L175" i="40"/>
  <c r="L344" i="40"/>
  <c r="L170" i="40"/>
  <c r="L169" i="40"/>
  <c r="L168" i="40"/>
  <c r="L167" i="40"/>
  <c r="L166" i="40"/>
  <c r="L165" i="40"/>
  <c r="L329" i="40"/>
  <c r="L339" i="40" s="1" a="1"/>
  <c r="L339" i="40" s="1"/>
  <c r="L156" i="40"/>
  <c r="L161" i="40"/>
  <c r="L159" i="40"/>
  <c r="L160" i="40"/>
  <c r="L158" i="40"/>
  <c r="L157" i="40"/>
  <c r="L314" i="40"/>
  <c r="L148" i="40"/>
  <c r="L147" i="40"/>
  <c r="L152" i="40"/>
  <c r="L151" i="40"/>
  <c r="L150" i="40"/>
  <c r="L149" i="40"/>
  <c r="L423" i="40"/>
  <c r="L422" i="40"/>
  <c r="L425" i="40"/>
  <c r="L173" i="40"/>
  <c r="L191" i="40"/>
  <c r="L164" i="40"/>
  <c r="L155" i="40"/>
  <c r="L182" i="40"/>
  <c r="L375" i="40" s="1"/>
  <c r="G53" i="14"/>
  <c r="L300" i="40"/>
  <c r="G37" i="14"/>
  <c r="L237" i="40"/>
  <c r="G30" i="14"/>
  <c r="G34" i="14"/>
  <c r="G18" i="14"/>
  <c r="G32" i="14"/>
  <c r="L209" i="40"/>
  <c r="C32" i="42" s="1"/>
  <c r="L200" i="40"/>
  <c r="L146" i="40"/>
  <c r="L315" i="40" s="1"/>
  <c r="L218" i="40"/>
  <c r="C33" i="42" s="1"/>
  <c r="G219" i="14" l="1"/>
  <c r="G104" i="14"/>
  <c r="L340" i="40"/>
  <c r="L428" i="40"/>
  <c r="L444" i="40" a="1"/>
  <c r="L444" i="40" s="1"/>
  <c r="L414" i="40" a="1"/>
  <c r="L414" i="40" s="1"/>
  <c r="L399" i="40" a="1"/>
  <c r="L399" i="40" s="1"/>
  <c r="L384" i="40" a="1"/>
  <c r="L384" i="40" s="1"/>
  <c r="L369" i="40" a="1"/>
  <c r="L369" i="40" s="1"/>
  <c r="L354" i="40" a="1"/>
  <c r="L354" i="40" s="1"/>
  <c r="L324" i="40" a="1"/>
  <c r="L324" i="40" s="1"/>
  <c r="L337" i="40"/>
  <c r="L338" i="40" s="1"/>
  <c r="L322" i="40"/>
  <c r="L323" i="40" s="1"/>
  <c r="L438" i="40"/>
  <c r="L442" i="40"/>
  <c r="L443" i="40" s="1"/>
  <c r="L407" i="40"/>
  <c r="L412" i="40"/>
  <c r="L413" i="40" s="1"/>
  <c r="L392" i="40"/>
  <c r="L397" i="40"/>
  <c r="L398" i="40" s="1"/>
  <c r="L377" i="40"/>
  <c r="L382" i="40"/>
  <c r="L383" i="40" s="1"/>
  <c r="L362" i="40"/>
  <c r="L367" i="40"/>
  <c r="L368" i="40" s="1"/>
  <c r="L347" i="40"/>
  <c r="L352" i="40"/>
  <c r="L353" i="40" s="1"/>
  <c r="L332" i="40"/>
  <c r="L335" i="40"/>
  <c r="L308" i="40"/>
  <c r="G65" i="14" s="1"/>
  <c r="L317" i="40"/>
  <c r="L320" i="40"/>
  <c r="L390" i="40"/>
  <c r="L333" i="40"/>
  <c r="L318" i="40"/>
  <c r="L380" i="40"/>
  <c r="L365" i="40"/>
  <c r="L378" i="40"/>
  <c r="L395" i="40"/>
  <c r="L393" i="40"/>
  <c r="L345" i="40"/>
  <c r="G110" i="14"/>
  <c r="L348" i="40"/>
  <c r="L350" i="40"/>
  <c r="L363" i="40"/>
  <c r="L360" i="40"/>
  <c r="G129" i="14"/>
  <c r="L410" i="40"/>
  <c r="L408" i="40"/>
  <c r="L440" i="40"/>
  <c r="L437" i="40"/>
  <c r="L330" i="40"/>
  <c r="G91" i="14"/>
  <c r="C31" i="42"/>
  <c r="C28" i="42"/>
  <c r="C30" i="42"/>
  <c r="G167" i="14"/>
  <c r="C26" i="42"/>
  <c r="G148" i="14"/>
  <c r="C27" i="42"/>
  <c r="C29" i="42"/>
  <c r="G205" i="14"/>
  <c r="L420" i="40"/>
  <c r="G186" i="14"/>
  <c r="L405" i="40"/>
  <c r="G224" i="14"/>
  <c r="L435" i="40"/>
  <c r="G35" i="14"/>
  <c r="G72" i="14"/>
  <c r="C25" i="42"/>
  <c r="G199" i="14" l="1"/>
  <c r="G142" i="14"/>
  <c r="L445" i="40"/>
  <c r="G237" i="14"/>
  <c r="L415" i="40"/>
  <c r="L400" i="40"/>
  <c r="G180" i="14"/>
  <c r="L385" i="40"/>
  <c r="G161" i="14"/>
  <c r="L355" i="40"/>
  <c r="G123" i="14"/>
  <c r="G105" i="14"/>
  <c r="L325" i="40"/>
  <c r="G85" i="14"/>
  <c r="L370" i="40"/>
  <c r="G100" i="14"/>
  <c r="G119" i="14"/>
  <c r="G155" i="14"/>
  <c r="G117" i="14"/>
  <c r="G73" i="14"/>
  <c r="G76" i="14"/>
  <c r="G70" i="14"/>
  <c r="G71" i="14"/>
  <c r="G75" i="14"/>
  <c r="G78" i="14"/>
  <c r="G77" i="14"/>
  <c r="G74" i="14"/>
  <c r="G84" i="14" s="1"/>
  <c r="G81" i="14"/>
  <c r="G79" i="14"/>
  <c r="G90" i="14"/>
  <c r="G97" i="14"/>
  <c r="G96" i="14"/>
  <c r="G95" i="14"/>
  <c r="G94" i="14"/>
  <c r="G93" i="14"/>
  <c r="G89" i="14"/>
  <c r="G92" i="14"/>
  <c r="G98" i="14"/>
  <c r="G108" i="14"/>
  <c r="G116" i="14"/>
  <c r="G115" i="14"/>
  <c r="G114" i="14"/>
  <c r="G113" i="14"/>
  <c r="G112" i="14"/>
  <c r="G111" i="14"/>
  <c r="G109" i="14"/>
  <c r="G132" i="14"/>
  <c r="G134" i="14"/>
  <c r="G131" i="14"/>
  <c r="G130" i="14"/>
  <c r="G128" i="14"/>
  <c r="G133" i="14"/>
  <c r="G127" i="14"/>
  <c r="G135" i="14"/>
  <c r="G136" i="14"/>
  <c r="G138" i="14"/>
  <c r="G153" i="14"/>
  <c r="G154" i="14"/>
  <c r="G146" i="14"/>
  <c r="G152" i="14"/>
  <c r="G147" i="14"/>
  <c r="G151" i="14"/>
  <c r="G150" i="14"/>
  <c r="G149" i="14"/>
  <c r="G157" i="14"/>
  <c r="G168" i="14"/>
  <c r="G172" i="14"/>
  <c r="G165" i="14"/>
  <c r="G173" i="14"/>
  <c r="G166" i="14"/>
  <c r="G171" i="14"/>
  <c r="G170" i="14"/>
  <c r="G169" i="14"/>
  <c r="G176" i="14"/>
  <c r="G174" i="14"/>
  <c r="G193" i="14"/>
  <c r="G190" i="14"/>
  <c r="G191" i="14"/>
  <c r="G189" i="14"/>
  <c r="G184" i="14"/>
  <c r="G188" i="14"/>
  <c r="G185" i="14"/>
  <c r="G187" i="14"/>
  <c r="G192" i="14"/>
  <c r="G195" i="14"/>
  <c r="G210" i="14"/>
  <c r="G203" i="14"/>
  <c r="G211" i="14"/>
  <c r="G207" i="14"/>
  <c r="G204" i="14"/>
  <c r="G209" i="14"/>
  <c r="G208" i="14"/>
  <c r="G206" i="14"/>
  <c r="G214" i="14"/>
  <c r="G212" i="14"/>
  <c r="G226" i="14"/>
  <c r="G230" i="14"/>
  <c r="G229" i="14"/>
  <c r="G225" i="14"/>
  <c r="G222" i="14"/>
  <c r="G223" i="14"/>
  <c r="G228" i="14"/>
  <c r="G227" i="14"/>
  <c r="G233" i="14"/>
  <c r="G231" i="14"/>
  <c r="G27" i="14"/>
  <c r="B229" i="31"/>
  <c r="B230" i="31"/>
  <c r="B231" i="31"/>
  <c r="B232" i="31"/>
  <c r="B233" i="31"/>
  <c r="B234" i="31"/>
  <c r="B235" i="31"/>
  <c r="B236" i="31"/>
  <c r="B237" i="31"/>
  <c r="B238" i="31"/>
  <c r="B239" i="31"/>
  <c r="B240" i="31"/>
  <c r="B259" i="31"/>
  <c r="B260" i="31"/>
  <c r="B261" i="31"/>
  <c r="B262" i="31"/>
  <c r="B263" i="31"/>
  <c r="B264" i="31"/>
  <c r="B265" i="31"/>
  <c r="B266" i="31"/>
  <c r="B281" i="31"/>
  <c r="B282" i="31"/>
  <c r="B283" i="31"/>
  <c r="B284" i="31"/>
  <c r="B285" i="31"/>
  <c r="B286" i="31"/>
  <c r="B287" i="31"/>
  <c r="B288" i="31"/>
  <c r="G238" i="14" l="1"/>
  <c r="G200" i="14"/>
  <c r="G181" i="14"/>
  <c r="G162" i="14"/>
  <c r="G143" i="14"/>
  <c r="G124" i="14"/>
  <c r="G86" i="14"/>
  <c r="F23" i="42"/>
  <c r="G235" i="14"/>
  <c r="G236" i="14"/>
  <c r="G217" i="14"/>
  <c r="G216" i="14"/>
  <c r="G198" i="14"/>
  <c r="G197" i="14"/>
  <c r="G178" i="14"/>
  <c r="G179" i="14"/>
  <c r="G160" i="14"/>
  <c r="G159" i="14"/>
  <c r="G141" i="14"/>
  <c r="G140" i="14"/>
  <c r="G121" i="14"/>
  <c r="G122" i="14"/>
  <c r="G103" i="14"/>
  <c r="G102" i="14"/>
  <c r="G83" i="14"/>
  <c r="C225" i="31"/>
  <c r="B225" i="31"/>
  <c r="F22" i="42" l="1"/>
  <c r="L447" i="40"/>
  <c r="G240" i="14" s="1"/>
  <c r="G31" i="14"/>
  <c r="L312" i="40" l="1"/>
  <c r="G69" i="14" s="1"/>
  <c r="G5" i="14"/>
  <c r="L417" i="40"/>
  <c r="G202" i="14" s="1"/>
  <c r="L432" i="40"/>
  <c r="G221" i="14" s="1"/>
  <c r="L387" i="40"/>
  <c r="G164" i="14" s="1"/>
  <c r="L402" i="40"/>
  <c r="G183" i="14" s="1"/>
  <c r="L357" i="40"/>
  <c r="G126" i="14" s="1"/>
  <c r="L372" i="40"/>
  <c r="G145" i="14" s="1"/>
  <c r="L327" i="40"/>
  <c r="G88" i="14" s="1"/>
  <c r="L342" i="40"/>
  <c r="G107" i="14" s="1"/>
  <c r="F20" i="42"/>
  <c r="F21" i="42"/>
  <c r="L321" i="40"/>
  <c r="G82" i="14" s="1"/>
  <c r="L547" i="40"/>
  <c r="G261" i="14"/>
  <c r="L441" i="40"/>
  <c r="G234" i="14" s="1"/>
  <c r="L426" i="40"/>
  <c r="G215" i="14" s="1"/>
  <c r="L439" i="40"/>
  <c r="G232" i="14" s="1"/>
  <c r="L411" i="40"/>
  <c r="G196" i="14" s="1"/>
  <c r="L424" i="40"/>
  <c r="G213" i="14" s="1"/>
  <c r="L396" i="40"/>
  <c r="G177" i="14" s="1"/>
  <c r="L409" i="40"/>
  <c r="L381" i="40"/>
  <c r="G158" i="14" s="1"/>
  <c r="L394" i="40"/>
  <c r="G175" i="14" s="1"/>
  <c r="L366" i="40"/>
  <c r="G139" i="14" s="1"/>
  <c r="L379" i="40"/>
  <c r="G156" i="14" s="1"/>
  <c r="L351" i="40"/>
  <c r="G120" i="14" s="1"/>
  <c r="L364" i="40"/>
  <c r="G137" i="14" s="1"/>
  <c r="L336" i="40"/>
  <c r="G101" i="14" s="1"/>
  <c r="L349" i="40"/>
  <c r="L319" i="40"/>
  <c r="G80" i="14" s="1"/>
  <c r="L334" i="40"/>
  <c r="G99" i="14" s="1"/>
  <c r="G33" i="14"/>
  <c r="G194" i="14" l="1"/>
  <c r="G118" i="14"/>
  <c r="G247" i="14"/>
  <c r="G267" i="14" s="1"/>
  <c r="L548" i="40"/>
  <c r="D70" i="31"/>
  <c r="D71" i="31"/>
  <c r="D72" i="31"/>
  <c r="D64" i="31"/>
  <c r="D65" i="31"/>
  <c r="D52" i="31"/>
  <c r="D53" i="31"/>
  <c r="D54" i="31"/>
  <c r="D55" i="31"/>
  <c r="D46" i="31"/>
  <c r="D47" i="31"/>
  <c r="D43" i="38" l="1"/>
  <c r="D84" i="38" s="1"/>
  <c r="D10" i="38"/>
  <c r="D46" i="38"/>
  <c r="D9" i="38"/>
  <c r="D49" i="38"/>
  <c r="D164" i="38"/>
  <c r="D153" i="38"/>
  <c r="D142" i="38"/>
  <c r="D131" i="38"/>
  <c r="D120" i="38"/>
  <c r="D98" i="38"/>
  <c r="D87" i="38"/>
  <c r="D76" i="38"/>
  <c r="D65" i="38"/>
  <c r="D56" i="38"/>
  <c r="D60" i="38"/>
  <c r="D21" i="38" a="1"/>
  <c r="D21" i="38" s="1"/>
  <c r="D47" i="38" l="1"/>
  <c r="D44" i="38"/>
  <c r="D116" i="38"/>
  <c r="D161" i="38"/>
  <c r="D73" i="38"/>
  <c r="D138" i="38"/>
  <c r="D149" i="38"/>
  <c r="D150" i="38"/>
  <c r="D172" i="38"/>
  <c r="D72" i="38"/>
  <c r="D94" i="38"/>
  <c r="D109" i="38"/>
  <c r="D128" i="38"/>
  <c r="D127" i="38"/>
  <c r="D105" i="38"/>
  <c r="D139" i="38"/>
  <c r="D83" i="38"/>
  <c r="D117" i="38"/>
  <c r="D171" i="38"/>
  <c r="D106" i="38"/>
  <c r="D160" i="38"/>
  <c r="D95" i="38"/>
  <c r="I454" i="31" l="1"/>
  <c r="I453" i="31"/>
  <c r="I452" i="31"/>
  <c r="I451" i="31"/>
  <c r="I450" i="31"/>
  <c r="I449" i="31"/>
  <c r="I445" i="31"/>
  <c r="I444" i="31"/>
  <c r="I443" i="31"/>
  <c r="I442" i="31"/>
  <c r="I441" i="31"/>
  <c r="I440" i="31"/>
  <c r="I436" i="31"/>
  <c r="I435" i="31"/>
  <c r="I434" i="31"/>
  <c r="I433" i="31"/>
  <c r="I432" i="31"/>
  <c r="I431" i="31"/>
  <c r="I430" i="31"/>
  <c r="I426" i="31"/>
  <c r="I425" i="31"/>
  <c r="I424" i="31"/>
  <c r="I423" i="31"/>
  <c r="I422" i="31"/>
  <c r="I421" i="31"/>
  <c r="I420" i="31"/>
  <c r="I416" i="31"/>
  <c r="I415" i="31"/>
  <c r="I414" i="31"/>
  <c r="I413" i="31"/>
  <c r="I412" i="31"/>
  <c r="I408" i="31"/>
  <c r="I407" i="31"/>
  <c r="I406" i="31"/>
  <c r="I405" i="31"/>
  <c r="I404" i="31"/>
  <c r="I400" i="31"/>
  <c r="I399" i="31"/>
  <c r="I398" i="31"/>
  <c r="I397" i="31"/>
  <c r="I396" i="31"/>
  <c r="I395" i="31"/>
  <c r="I394" i="31"/>
  <c r="I390" i="31"/>
  <c r="I389" i="31"/>
  <c r="I388" i="31"/>
  <c r="I387" i="31"/>
  <c r="I386" i="31"/>
  <c r="I385" i="31"/>
  <c r="I381" i="31"/>
  <c r="I380" i="31"/>
  <c r="I379" i="31"/>
  <c r="I378" i="31"/>
  <c r="I377" i="31"/>
  <c r="I376" i="31"/>
  <c r="I375" i="31"/>
  <c r="I374" i="31"/>
  <c r="I373" i="31"/>
  <c r="I369" i="31"/>
  <c r="I368" i="31"/>
  <c r="I367" i="31"/>
  <c r="I366" i="31"/>
  <c r="I365" i="31"/>
  <c r="I364" i="31"/>
  <c r="I360" i="31"/>
  <c r="I359" i="31"/>
  <c r="I358" i="31"/>
  <c r="I357" i="31"/>
  <c r="I356" i="31"/>
  <c r="I344" i="31"/>
  <c r="I343" i="31"/>
  <c r="I342" i="31"/>
  <c r="I341" i="31"/>
  <c r="I340" i="31"/>
  <c r="I132" i="40" s="1"/>
  <c r="F39" i="42" l="1"/>
  <c r="D18" i="38"/>
  <c r="D17" i="38"/>
  <c r="D16" i="38"/>
  <c r="D15" i="38"/>
  <c r="D62" i="38" s="1"/>
  <c r="L127" i="40" l="1"/>
  <c r="F38" i="42"/>
  <c r="I133" i="40"/>
  <c r="L294" i="40"/>
  <c r="F57" i="42" s="1"/>
  <c r="G12" i="14"/>
  <c r="D23" i="38"/>
  <c r="D22" i="38"/>
  <c r="G26" i="14" l="1"/>
  <c r="D30" i="38"/>
  <c r="D26"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kohei.ono</author>
  </authors>
  <commentList>
    <comment ref="D8" authorId="0" shapeId="0" xr:uid="{6EFC1F48-1641-4931-BC40-8F4F030DB52F}">
      <text>
        <r>
          <rPr>
            <b/>
            <sz val="11"/>
            <color indexed="81"/>
            <rFont val="Meiryo UI"/>
            <family val="3"/>
            <charset val="128"/>
          </rPr>
          <t>②ランドスケープ</t>
        </r>
        <r>
          <rPr>
            <sz val="11"/>
            <color indexed="81"/>
            <rFont val="Meiryo UI"/>
            <family val="3"/>
            <charset val="128"/>
          </rPr>
          <t xml:space="preserve">
プルダウンからサーバの用途に合わせて、以下からランドスケープを選択してください。
・本番
・開発
・検証</t>
        </r>
      </text>
    </comment>
    <comment ref="D11" authorId="0" shapeId="0" xr:uid="{69B27AB3-90DA-49DB-A2FA-B2CDCF5D1400}">
      <text>
        <r>
          <rPr>
            <b/>
            <sz val="11"/>
            <color indexed="81"/>
            <rFont val="Meiryo UI"/>
            <family val="3"/>
            <charset val="128"/>
          </rPr>
          <t>③ロケーション</t>
        </r>
        <r>
          <rPr>
            <sz val="11"/>
            <color indexed="81"/>
            <rFont val="Meiryo UI"/>
            <family val="3"/>
            <charset val="128"/>
          </rPr>
          <t xml:space="preserve">
プルダウンからサーバの用途に合わせて、以下からロケーションを選択してください。
・外部利用：社内からのアクセスを遮断
・内部利用：社内からのアクセスを許可</t>
        </r>
      </text>
    </comment>
    <comment ref="D12" authorId="0" shapeId="0" xr:uid="{9CA2EDA2-D231-4E3A-B087-322CFE9606E9}">
      <text>
        <r>
          <rPr>
            <b/>
            <sz val="11"/>
            <color indexed="81"/>
            <rFont val="Meiryo UI"/>
            <family val="3"/>
            <charset val="128"/>
          </rPr>
          <t>④パブリックIPアドレス必要/不要</t>
        </r>
        <r>
          <rPr>
            <sz val="11"/>
            <color indexed="81"/>
            <rFont val="Meiryo UI"/>
            <family val="3"/>
            <charset val="128"/>
          </rPr>
          <t xml:space="preserve">
プルダウンからパブリックIPアドレスの要否を選択してください。
内部利用の場合、インターネットとの相互アクセスが不可となるため、「不要」のみプルダウンに表示されます。</t>
        </r>
      </text>
    </comment>
    <comment ref="D36" authorId="0" shapeId="0" xr:uid="{EC0E73C3-576F-42ED-AFC7-CD7701F1FDAF}">
      <text>
        <r>
          <rPr>
            <b/>
            <sz val="11"/>
            <color indexed="81"/>
            <rFont val="Meiryo UI"/>
            <family val="3"/>
            <charset val="128"/>
          </rPr>
          <t>⑦ホスト名定義、ホスト名、Nameタグ</t>
        </r>
        <r>
          <rPr>
            <sz val="11"/>
            <color indexed="81"/>
            <rFont val="Meiryo UI"/>
            <family val="3"/>
            <charset val="128"/>
          </rPr>
          <t xml:space="preserve">
以下ホスト名定義の項目を入力・選択すると、ホスト名、Nameタグが自動反映されます。
▽システム種類
英数字3文字のシステム名を入力してください。
▽環境種類
プルダウンからランドスケープの種別に合わせて環境種類を選択してください。
▽会社コード
プルダウンから会社コードを選択してください。
▽AWSリージョン
プルダウンからAWSリージョンを選択してください。
▽サーバ種類
プルダウンからサーバ種類を選択してください。
▽連番
同種サーバ識別のため、連番を入力してください。</t>
        </r>
      </text>
    </comment>
    <comment ref="D45" authorId="0" shapeId="0" xr:uid="{29FC3021-90EB-47B7-BA82-F4025C62F459}">
      <text>
        <r>
          <rPr>
            <b/>
            <sz val="11"/>
            <color indexed="81"/>
            <rFont val="Meiryo UI"/>
            <family val="3"/>
            <charset val="128"/>
          </rPr>
          <t>⑤インスタンスタイプ</t>
        </r>
        <r>
          <rPr>
            <sz val="11"/>
            <color indexed="81"/>
            <rFont val="Meiryo UI"/>
            <family val="3"/>
            <charset val="128"/>
          </rPr>
          <t xml:space="preserve">
プルダウンからインスタンスタイプを選択してください。
選択すると対象インスタンスタイプのCPU、メモリーが自動反映されますので、サーバ用途に合致するインスタンスタイプを選択してください。</t>
        </r>
      </text>
    </comment>
    <comment ref="D48" authorId="0" shapeId="0" xr:uid="{24797A17-541B-4B7E-93E0-35D696A72DA5}">
      <text>
        <r>
          <rPr>
            <b/>
            <sz val="11"/>
            <color indexed="81"/>
            <rFont val="Meiryo UI"/>
            <family val="3"/>
            <charset val="128"/>
          </rPr>
          <t>⑥OS、AMIID</t>
        </r>
        <r>
          <rPr>
            <sz val="11"/>
            <color indexed="81"/>
            <rFont val="Meiryo UI"/>
            <family val="3"/>
            <charset val="128"/>
          </rPr>
          <t xml:space="preserve">
プルダウンからOSを選択してください。
選択すると対象OSのAMIIDが自動反映されます。</t>
        </r>
      </text>
    </comment>
    <comment ref="D64" authorId="0" shapeId="0" xr:uid="{EAFAF8AB-FF3C-4D50-8418-F388105DAD09}">
      <text>
        <r>
          <rPr>
            <b/>
            <sz val="11"/>
            <color indexed="81"/>
            <rFont val="Meiryo UI"/>
            <family val="3"/>
            <charset val="128"/>
          </rPr>
          <t>⑧ディスク</t>
        </r>
        <r>
          <rPr>
            <sz val="11"/>
            <color indexed="81"/>
            <rFont val="Meiryo UI"/>
            <family val="3"/>
            <charset val="128"/>
          </rPr>
          <t xml:space="preserve">
必要なディスク数分プルダウンからドライブレターを選択し、必要な容量を入力してください。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kohei.ono</author>
  </authors>
  <commentList>
    <comment ref="L9" authorId="0" shapeId="0" xr:uid="{2060BADF-C78D-4933-A025-81EF6E7B9864}">
      <text>
        <r>
          <rPr>
            <b/>
            <sz val="11"/>
            <color indexed="81"/>
            <rFont val="Meiryo UI"/>
            <family val="3"/>
            <charset val="128"/>
          </rPr>
          <t>①サーバ管理名</t>
        </r>
        <r>
          <rPr>
            <sz val="11"/>
            <color indexed="81"/>
            <rFont val="Meiryo UI"/>
            <family val="3"/>
            <charset val="128"/>
          </rPr>
          <t xml:space="preserve">
サーバ管理名を入力してください。
例）EAAコネクターサーバ#1
</t>
        </r>
      </text>
    </comment>
    <comment ref="L11" authorId="0" shapeId="0" xr:uid="{1675770F-7DE2-4C7C-B4C8-1C87C0C63B37}">
      <text>
        <r>
          <rPr>
            <b/>
            <sz val="11"/>
            <color indexed="81"/>
            <rFont val="Meiryo UI"/>
            <family val="3"/>
            <charset val="128"/>
          </rPr>
          <t>②ランドスケープ</t>
        </r>
        <r>
          <rPr>
            <sz val="11"/>
            <color indexed="81"/>
            <rFont val="Meiryo UI"/>
            <family val="3"/>
            <charset val="128"/>
          </rPr>
          <t xml:space="preserve">
サーバの用途に合わせて、プルダウンからランドスケープを選択してください。
</t>
        </r>
      </text>
    </comment>
    <comment ref="L14" authorId="0" shapeId="0" xr:uid="{F0749CFA-0BCB-4A71-AD49-B3EA1D4AAEB8}">
      <text>
        <r>
          <rPr>
            <b/>
            <sz val="11"/>
            <color indexed="81"/>
            <rFont val="Meiryo UI"/>
            <family val="3"/>
            <charset val="128"/>
          </rPr>
          <t>③インターネットからの外部接続</t>
        </r>
        <r>
          <rPr>
            <sz val="11"/>
            <color indexed="81"/>
            <rFont val="Meiryo UI"/>
            <family val="3"/>
            <charset val="128"/>
          </rPr>
          <t xml:space="preserve">
インターネットを経由しての外部からの接続の要否をプルダウンからサーバの用途に合わせて、選択してください。
・インターネットからの外部接続あり
・インターネットからの外部接続なし</t>
        </r>
      </text>
    </comment>
    <comment ref="L15" authorId="0" shapeId="0" xr:uid="{0BA4D2C2-A28D-4AA5-B93B-BCA8BF05E295}">
      <text>
        <r>
          <rPr>
            <b/>
            <sz val="11"/>
            <color indexed="81"/>
            <rFont val="Meiryo UI"/>
            <family val="3"/>
            <charset val="128"/>
          </rPr>
          <t xml:space="preserve">④CPU
</t>
        </r>
        <r>
          <rPr>
            <sz val="11"/>
            <color indexed="81"/>
            <rFont val="Meiryo UI"/>
            <family val="3"/>
            <charset val="128"/>
          </rPr>
          <t xml:space="preserve">必要なCPU数を入力してください。
</t>
        </r>
      </text>
    </comment>
    <comment ref="L16" authorId="0" shapeId="0" xr:uid="{C79939EB-8A48-4581-BC24-8F1A2DE0739F}">
      <text>
        <r>
          <rPr>
            <b/>
            <sz val="11"/>
            <color indexed="81"/>
            <rFont val="Meiryo UI"/>
            <family val="3"/>
            <charset val="128"/>
          </rPr>
          <t>⑤メモリー</t>
        </r>
        <r>
          <rPr>
            <sz val="11"/>
            <color indexed="81"/>
            <rFont val="Meiryo UI"/>
            <family val="3"/>
            <charset val="128"/>
          </rPr>
          <t xml:space="preserve">
必要なメモリー容量(GB)を入力してください。
</t>
        </r>
      </text>
    </comment>
    <comment ref="L17" authorId="0" shapeId="0" xr:uid="{412F9D94-A30A-48AC-A98B-EA28C9484714}">
      <text>
        <r>
          <rPr>
            <b/>
            <sz val="11"/>
            <color indexed="81"/>
            <rFont val="Meiryo UI"/>
            <family val="3"/>
            <charset val="128"/>
          </rPr>
          <t>⑥OS</t>
        </r>
        <r>
          <rPr>
            <sz val="11"/>
            <color indexed="81"/>
            <rFont val="Meiryo UI"/>
            <family val="3"/>
            <charset val="128"/>
          </rPr>
          <t xml:space="preserve">
OS名を入力してください。
プルダウンからも選択可能です。</t>
        </r>
      </text>
    </comment>
    <comment ref="L19" authorId="0" shapeId="0" xr:uid="{FC312C67-50FB-46D2-A9DF-656128F04986}">
      <text>
        <r>
          <rPr>
            <b/>
            <sz val="11"/>
            <color indexed="81"/>
            <rFont val="Meiryo UI"/>
            <family val="3"/>
            <charset val="128"/>
          </rPr>
          <t xml:space="preserve">⑦ホスト名定義、ホスト名、Nameタグ
</t>
        </r>
        <r>
          <rPr>
            <sz val="11"/>
            <color indexed="81"/>
            <rFont val="Meiryo UI"/>
            <family val="3"/>
            <charset val="128"/>
          </rPr>
          <t xml:space="preserve">ホスト名、Nameタグの要素として以下を入力してください。
▽システム種類
英数字3桁のシステム名を入力してください。
※ホスト名に文字数制限があるため、システム種類は3桁となります。
</t>
        </r>
      </text>
    </comment>
    <comment ref="L20" authorId="0" shapeId="0" xr:uid="{E491669B-1E44-4917-BD89-360D440089F7}">
      <text>
        <r>
          <rPr>
            <b/>
            <sz val="11"/>
            <color indexed="81"/>
            <rFont val="Meiryo UI"/>
            <family val="3"/>
            <charset val="128"/>
          </rPr>
          <t>⑦ホスト名定義、ホスト名、Nameタグ</t>
        </r>
        <r>
          <rPr>
            <sz val="11"/>
            <color indexed="81"/>
            <rFont val="Meiryo UI"/>
            <family val="3"/>
            <charset val="128"/>
          </rPr>
          <t xml:space="preserve">
▽環境種類
項目名ランドスケープにて選択した種類に基づき自動反映されます。</t>
        </r>
      </text>
    </comment>
    <comment ref="L21" authorId="0" shapeId="0" xr:uid="{4748BE36-BF5F-42E9-B943-F540826888E9}">
      <text>
        <r>
          <rPr>
            <b/>
            <sz val="11"/>
            <color indexed="81"/>
            <rFont val="Meiryo UI"/>
            <family val="3"/>
            <charset val="128"/>
          </rPr>
          <t>⑦ホスト名定義、ホスト名、Nameタグ</t>
        </r>
        <r>
          <rPr>
            <sz val="11"/>
            <color indexed="81"/>
            <rFont val="Meiryo UI"/>
            <family val="3"/>
            <charset val="128"/>
          </rPr>
          <t xml:space="preserve">
ホスト名、Nameタグの要素として以下を選択してください。
▽会社コード
プルダウンから会社コードを選択してください。
</t>
        </r>
      </text>
    </comment>
    <comment ref="L22" authorId="0" shapeId="0" xr:uid="{2111C629-7819-4EF9-8329-CE0029773375}">
      <text>
        <r>
          <rPr>
            <b/>
            <sz val="11"/>
            <color indexed="81"/>
            <rFont val="Meiryo UI"/>
            <family val="3"/>
            <charset val="128"/>
          </rPr>
          <t xml:space="preserve">⑦ホスト名定義、ホスト名、Nameタグ
</t>
        </r>
        <r>
          <rPr>
            <sz val="11"/>
            <color indexed="81"/>
            <rFont val="Meiryo UI"/>
            <family val="3"/>
            <charset val="128"/>
          </rPr>
          <t xml:space="preserve">▽AWSリージョン
項目名「リージョン」で選択した内容に基づき、リージョンが自動反映されます。
</t>
        </r>
      </text>
    </comment>
    <comment ref="L23" authorId="0" shapeId="0" xr:uid="{08AC8463-55AD-4F83-B74C-010053A99EB3}">
      <text>
        <r>
          <rPr>
            <b/>
            <sz val="11"/>
            <color indexed="81"/>
            <rFont val="Meiryo UI"/>
            <family val="3"/>
            <charset val="128"/>
          </rPr>
          <t>⑦ホスト名定義、ホスト名、Nameタグ</t>
        </r>
        <r>
          <rPr>
            <sz val="11"/>
            <color indexed="81"/>
            <rFont val="Meiryo UI"/>
            <family val="3"/>
            <charset val="128"/>
          </rPr>
          <t xml:space="preserve">
ホスト名、Nameタグの要素として以下を選択してください。
▽サーバ種類
プルダウンからサーバ種類を選択してください。
</t>
        </r>
      </text>
    </comment>
    <comment ref="L24" authorId="0" shapeId="0" xr:uid="{03038F28-C4E6-4FC0-81FE-554B2C50C499}">
      <text>
        <r>
          <rPr>
            <b/>
            <sz val="11"/>
            <color indexed="81"/>
            <rFont val="Meiryo UI"/>
            <family val="3"/>
            <charset val="128"/>
          </rPr>
          <t>⑦ホスト名定義、ホスト名、Nameタグ</t>
        </r>
        <r>
          <rPr>
            <sz val="11"/>
            <color indexed="81"/>
            <rFont val="Meiryo UI"/>
            <family val="3"/>
            <charset val="128"/>
          </rPr>
          <t xml:space="preserve">
ホスト名、Nameタグの要素として以下を入力してください。
▽連番
同種サーバ識別のため、連番を入力してください。</t>
        </r>
      </text>
    </comment>
    <comment ref="L26" authorId="0" shapeId="0" xr:uid="{55288DE2-611B-4818-85B3-DCA1AEE2B282}">
      <text>
        <r>
          <rPr>
            <b/>
            <sz val="11"/>
            <color indexed="81"/>
            <rFont val="Meiryo UI"/>
            <family val="3"/>
            <charset val="128"/>
          </rPr>
          <t xml:space="preserve">⑧コストタグ名定義、ホスト名、Nameタグ
</t>
        </r>
        <r>
          <rPr>
            <sz val="11"/>
            <color indexed="81"/>
            <rFont val="Meiryo UI"/>
            <family val="3"/>
            <charset val="128"/>
          </rPr>
          <t xml:space="preserve">Costタグの要素として会社略称を入力してください。
</t>
        </r>
      </text>
    </comment>
    <comment ref="L27" authorId="0" shapeId="0" xr:uid="{90E91831-5EB9-4301-9801-A7441E9DE01E}">
      <text>
        <r>
          <rPr>
            <b/>
            <sz val="11"/>
            <color indexed="81"/>
            <rFont val="Meiryo UI"/>
            <family val="3"/>
            <charset val="128"/>
          </rPr>
          <t xml:space="preserve">⑧コストタグ名定義、ホスト名、Nameタグ
</t>
        </r>
        <r>
          <rPr>
            <sz val="11"/>
            <color indexed="81"/>
            <rFont val="Meiryo UI"/>
            <family val="3"/>
            <charset val="128"/>
          </rPr>
          <t>Costタグの要素として部門コードを入力してください。</t>
        </r>
        <r>
          <rPr>
            <b/>
            <sz val="11"/>
            <color indexed="81"/>
            <rFont val="Meiryo UI"/>
            <family val="3"/>
            <charset val="128"/>
          </rPr>
          <t xml:space="preserve">
</t>
        </r>
      </text>
    </comment>
    <comment ref="L28" authorId="0" shapeId="0" xr:uid="{E0488215-DF58-44E5-8E38-FA831F3986EA}">
      <text>
        <r>
          <rPr>
            <b/>
            <sz val="11"/>
            <color indexed="81"/>
            <rFont val="Meiryo UI"/>
            <family val="3"/>
            <charset val="128"/>
          </rPr>
          <t xml:space="preserve">⑨通信要件
</t>
        </r>
        <r>
          <rPr>
            <sz val="11"/>
            <color indexed="81"/>
            <rFont val="Meiryo UI"/>
            <family val="3"/>
            <charset val="128"/>
          </rPr>
          <t>ポートへの受信許可などの通信要件がある場合は記入ください。
例）xxxサーバーからのTCP:389（LDAP）の受信許可</t>
        </r>
      </text>
    </comment>
    <comment ref="L29" authorId="0" shapeId="0" xr:uid="{0654976F-7774-4EEE-BCFB-0FBE75036AC5}">
      <text>
        <r>
          <rPr>
            <b/>
            <sz val="11"/>
            <color indexed="81"/>
            <rFont val="Meiryo UI"/>
            <family val="3"/>
            <charset val="128"/>
          </rPr>
          <t>⑩その他コメント</t>
        </r>
        <r>
          <rPr>
            <sz val="11"/>
            <color indexed="81"/>
            <rFont val="Meiryo UI"/>
            <family val="3"/>
            <charset val="128"/>
          </rPr>
          <t xml:space="preserve">
その他何かありましたらご記入ください。
例）IPアドレスが複数必要</t>
        </r>
      </text>
    </comment>
    <comment ref="L31" authorId="0" shapeId="0" xr:uid="{903A61EF-03DF-42A0-83C2-53DDB1ADD819}">
      <text>
        <r>
          <rPr>
            <b/>
            <sz val="11"/>
            <color indexed="81"/>
            <rFont val="Meiryo UI"/>
            <family val="3"/>
            <charset val="128"/>
          </rPr>
          <t>⑪ディスク</t>
        </r>
        <r>
          <rPr>
            <sz val="11"/>
            <color indexed="81"/>
            <rFont val="Meiryo UI"/>
            <family val="3"/>
            <charset val="128"/>
          </rPr>
          <t xml:space="preserve">
Cドライブに必要なディスク容量を入力してください。
IOPS、スループットについて変更が必要な場合は各値を入力してください。</t>
        </r>
      </text>
    </comment>
    <comment ref="L37" authorId="0" shapeId="0" xr:uid="{7E4A1487-0DAF-40BD-9943-E0173EA431BC}">
      <text>
        <r>
          <rPr>
            <b/>
            <sz val="11"/>
            <color indexed="81"/>
            <rFont val="Meiryo UI"/>
            <family val="3"/>
            <charset val="128"/>
          </rPr>
          <t>⑪ディスク</t>
        </r>
        <r>
          <rPr>
            <sz val="11"/>
            <color indexed="81"/>
            <rFont val="Meiryo UI"/>
            <family val="3"/>
            <charset val="128"/>
          </rPr>
          <t xml:space="preserve">
追加でディスクが必要な場合はドライブレターをプルダウンから選択してください。
（項目のグレーアウトが解除されます。）
ディスク容量を入力してください。
IOPS、スループットについて変更が必要な場合は各値を入力してください。</t>
        </r>
      </text>
    </comment>
    <comment ref="L107" authorId="0" shapeId="0" xr:uid="{4AAEF494-2037-4216-9859-FD2154F8BAFA}">
      <text>
        <r>
          <rPr>
            <sz val="11"/>
            <color indexed="81"/>
            <rFont val="Meiryo UI"/>
            <family val="3"/>
            <charset val="128"/>
          </rPr>
          <t>プルダウンから配置先アカウントを選択すると以下項目にて対応する値が反映されます。
・「配置先AWSアカウントID」
・「配置先AWSアカウント名」
・「配置先VPC」
・「配置先VPCID」</t>
        </r>
      </text>
    </comment>
    <comment ref="L112" authorId="0" shapeId="0" xr:uid="{5905D396-E8F0-4731-AB45-98B5326EC427}">
      <text>
        <r>
          <rPr>
            <sz val="11"/>
            <color indexed="81"/>
            <rFont val="Meiryo UI"/>
            <family val="3"/>
            <charset val="128"/>
          </rPr>
          <t>「配置先サブネット」と「配置先アベイラビリティゾーン」を選択すると以下項目に対応する値が反映されます。
・「配置先サブネット名」
・「配置先サブネット(subnet-id)」
・「配置先サブネット(CIDR)」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<sst xmlns="http://schemas.openxmlformats.org/spreadsheetml/2006/main" count="2814" uniqueCount="1207">
  <si>
    <t>SIチーム用シート(Windows)</t>
    <phoneticPr fontId="1"/>
  </si>
  <si>
    <t>ユーザー入力反映欄</t>
    <rPh sb="4" eb="6">
      <t>ニュウリョク</t>
    </rPh>
    <rPh sb="6" eb="8">
      <t>ハンエイ</t>
    </rPh>
    <rPh sb="8" eb="9">
      <t>ラン</t>
    </rPh>
    <phoneticPr fontId="1"/>
  </si>
  <si>
    <t>自動反映欄</t>
    <rPh sb="0" eb="4">
      <t>ジドウハンエイ</t>
    </rPh>
    <rPh sb="4" eb="5">
      <t>ラン</t>
    </rPh>
    <phoneticPr fontId="1"/>
  </si>
  <si>
    <t>項目</t>
    <rPh sb="0" eb="2">
      <t>コウモク</t>
    </rPh>
    <phoneticPr fontId="3"/>
  </si>
  <si>
    <t>サーバ管理名</t>
    <rPh sb="3" eb="5">
      <t>カンリ</t>
    </rPh>
    <rPh sb="5" eb="6">
      <t>メイ</t>
    </rPh>
    <phoneticPr fontId="3"/>
  </si>
  <si>
    <t>ランドスケープ</t>
    <phoneticPr fontId="1"/>
  </si>
  <si>
    <t>開発</t>
    <rPh sb="0" eb="2">
      <t>カイハツ</t>
    </rPh>
    <phoneticPr fontId="1"/>
  </si>
  <si>
    <t>ロケーション</t>
    <phoneticPr fontId="1"/>
  </si>
  <si>
    <t>外部利用</t>
  </si>
  <si>
    <t>パブリックIPアドレス必要/不要</t>
    <rPh sb="11" eb="13">
      <t>ヒツヨウ</t>
    </rPh>
    <rPh sb="14" eb="16">
      <t>フヨウ</t>
    </rPh>
    <phoneticPr fontId="1"/>
  </si>
  <si>
    <t>インスタンス詳細</t>
    <rPh sb="6" eb="8">
      <t>ショウサイ</t>
    </rPh>
    <phoneticPr fontId="1"/>
  </si>
  <si>
    <t>配置先アカウント</t>
    <rPh sb="0" eb="2">
      <t>ハイチ</t>
    </rPh>
    <rPh sb="2" eb="3">
      <t>サキ</t>
    </rPh>
    <phoneticPr fontId="1"/>
  </si>
  <si>
    <t>配置先AWSアカウントID</t>
    <rPh sb="0" eb="2">
      <t>ハイチ</t>
    </rPh>
    <rPh sb="2" eb="3">
      <t>サキ</t>
    </rPh>
    <phoneticPr fontId="1"/>
  </si>
  <si>
    <t>配置先AWSアカウント名</t>
    <rPh sb="11" eb="12">
      <t>メイ</t>
    </rPh>
    <phoneticPr fontId="1"/>
  </si>
  <si>
    <t>配置先VPC</t>
    <rPh sb="0" eb="2">
      <t>ハイチ</t>
    </rPh>
    <rPh sb="2" eb="3">
      <t>サキ</t>
    </rPh>
    <phoneticPr fontId="1"/>
  </si>
  <si>
    <t>配置先VPCID</t>
    <rPh sb="0" eb="2">
      <t>ハイチ</t>
    </rPh>
    <rPh sb="2" eb="3">
      <t>サキ</t>
    </rPh>
    <phoneticPr fontId="1"/>
  </si>
  <si>
    <t>配置先サブネット種類</t>
    <rPh sb="0" eb="2">
      <t>ハイチ</t>
    </rPh>
    <rPh sb="2" eb="3">
      <t>サキ</t>
    </rPh>
    <rPh sb="8" eb="10">
      <t>シュルイ</t>
    </rPh>
    <phoneticPr fontId="1"/>
  </si>
  <si>
    <t>プロテクトサブネット</t>
    <phoneticPr fontId="1"/>
  </si>
  <si>
    <t>配置先アベイラビリティゾーン</t>
    <rPh sb="0" eb="2">
      <t>ハイチ</t>
    </rPh>
    <rPh sb="2" eb="3">
      <t>サキ</t>
    </rPh>
    <phoneticPr fontId="1"/>
  </si>
  <si>
    <t>配置先サブネット名</t>
    <rPh sb="0" eb="3">
      <t>ハイチサキ</t>
    </rPh>
    <rPh sb="8" eb="9">
      <t>メイ</t>
    </rPh>
    <phoneticPr fontId="3"/>
  </si>
  <si>
    <t>配置先サブネット(subnet-id)</t>
    <rPh sb="0" eb="3">
      <t>ハイチサキ</t>
    </rPh>
    <phoneticPr fontId="3"/>
  </si>
  <si>
    <t>配置先サブネット(CIDR)</t>
    <rPh sb="0" eb="2">
      <t>ハイチ</t>
    </rPh>
    <rPh sb="2" eb="3">
      <t>サキ</t>
    </rPh>
    <phoneticPr fontId="3"/>
  </si>
  <si>
    <t>ネットワークインターフェース#1</t>
    <phoneticPr fontId="1"/>
  </si>
  <si>
    <t>ネットワークインターフェースID</t>
    <phoneticPr fontId="1"/>
  </si>
  <si>
    <t>IPアドレス#1</t>
    <phoneticPr fontId="1"/>
  </si>
  <si>
    <t>パブリックIPアドレス</t>
  </si>
  <si>
    <t>ネットワークインターフェース#2</t>
    <phoneticPr fontId="1"/>
  </si>
  <si>
    <t>IPアドレス#2</t>
    <phoneticPr fontId="1"/>
  </si>
  <si>
    <t>DNS#1</t>
    <phoneticPr fontId="1"/>
  </si>
  <si>
    <t>-</t>
    <phoneticPr fontId="1"/>
  </si>
  <si>
    <t>DNS#2</t>
    <phoneticPr fontId="1"/>
  </si>
  <si>
    <t>NTP</t>
    <phoneticPr fontId="1"/>
  </si>
  <si>
    <t>169.254.169.123</t>
    <phoneticPr fontId="1"/>
  </si>
  <si>
    <t>ホスト名定義</t>
    <phoneticPr fontId="1"/>
  </si>
  <si>
    <t>システム種類</t>
    <rPh sb="4" eb="6">
      <t>シュルイ</t>
    </rPh>
    <phoneticPr fontId="1"/>
  </si>
  <si>
    <t>環境種類</t>
    <rPh sb="0" eb="2">
      <t>カンキョウ</t>
    </rPh>
    <rPh sb="2" eb="4">
      <t>シュルイ</t>
    </rPh>
    <phoneticPr fontId="1"/>
  </si>
  <si>
    <t>会社コード</t>
    <rPh sb="0" eb="2">
      <t>カイシャ</t>
    </rPh>
    <phoneticPr fontId="1"/>
  </si>
  <si>
    <t>AWSリージョン</t>
    <phoneticPr fontId="1"/>
  </si>
  <si>
    <t>サーバ種類</t>
    <rPh sb="3" eb="5">
      <t>シュルイ</t>
    </rPh>
    <phoneticPr fontId="1"/>
  </si>
  <si>
    <t>連番</t>
    <rPh sb="0" eb="2">
      <t>レンバン</t>
    </rPh>
    <phoneticPr fontId="1"/>
  </si>
  <si>
    <t>インスタンスID</t>
    <phoneticPr fontId="1"/>
  </si>
  <si>
    <t>ホスト名</t>
    <rPh sb="3" eb="4">
      <t>メイ</t>
    </rPh>
    <phoneticPr fontId="3"/>
  </si>
  <si>
    <t>Nameタグ</t>
    <phoneticPr fontId="1"/>
  </si>
  <si>
    <t>インスタンスタイプ</t>
    <phoneticPr fontId="3"/>
  </si>
  <si>
    <t xml:space="preserve">c5.large [2vCPU : 4GB] </t>
  </si>
  <si>
    <t>CPU</t>
    <phoneticPr fontId="3"/>
  </si>
  <si>
    <t>メモリー</t>
    <phoneticPr fontId="3"/>
  </si>
  <si>
    <t>OS</t>
    <phoneticPr fontId="3"/>
  </si>
  <si>
    <t>Microsoft Windows Server 2019 Base[English]</t>
  </si>
  <si>
    <t>AMIID</t>
    <phoneticPr fontId="1"/>
  </si>
  <si>
    <t>テナンシー</t>
    <phoneticPr fontId="1"/>
  </si>
  <si>
    <t>default</t>
    <phoneticPr fontId="1"/>
  </si>
  <si>
    <t>EBS最適化</t>
    <rPh sb="3" eb="6">
      <t>サイテキカ</t>
    </rPh>
    <phoneticPr fontId="1"/>
  </si>
  <si>
    <t>有効</t>
  </si>
  <si>
    <t>終了保護</t>
    <rPh sb="0" eb="4">
      <t>シュウリョウホゴ</t>
    </rPh>
    <phoneticPr fontId="1"/>
  </si>
  <si>
    <t>セキュリティグループ#1</t>
    <phoneticPr fontId="1"/>
  </si>
  <si>
    <t>通信種別</t>
    <rPh sb="0" eb="2">
      <t>ツウシン</t>
    </rPh>
    <rPh sb="2" eb="4">
      <t>シュベツ</t>
    </rPh>
    <phoneticPr fontId="1"/>
  </si>
  <si>
    <t>remote</t>
  </si>
  <si>
    <t>01</t>
    <phoneticPr fontId="1"/>
  </si>
  <si>
    <t>セキュリティグループ名</t>
    <rPh sb="10" eb="11">
      <t>メイ</t>
    </rPh>
    <phoneticPr fontId="1"/>
  </si>
  <si>
    <t>セキュリティグループ#2</t>
    <phoneticPr fontId="1"/>
  </si>
  <si>
    <t>internal</t>
  </si>
  <si>
    <t>IAMRole</t>
    <phoneticPr fontId="1"/>
  </si>
  <si>
    <t>EBR.BW4-tra-Role</t>
  </si>
  <si>
    <t>キーペア名</t>
    <rPh sb="4" eb="5">
      <t>メイ</t>
    </rPh>
    <phoneticPr fontId="1"/>
  </si>
  <si>
    <t>ディスク１</t>
    <phoneticPr fontId="1"/>
  </si>
  <si>
    <t>ドライブ</t>
    <phoneticPr fontId="1"/>
  </si>
  <si>
    <t>C</t>
  </si>
  <si>
    <t>ブロックデバイス</t>
    <phoneticPr fontId="1"/>
  </si>
  <si>
    <t>容量</t>
    <rPh sb="0" eb="2">
      <t>ヨウリョウ</t>
    </rPh>
    <phoneticPr fontId="1"/>
  </si>
  <si>
    <t>ボリュームタイプ</t>
    <phoneticPr fontId="1"/>
  </si>
  <si>
    <t>gp3</t>
  </si>
  <si>
    <t>IOPS</t>
    <phoneticPr fontId="1"/>
  </si>
  <si>
    <t>スループット</t>
    <phoneticPr fontId="1"/>
  </si>
  <si>
    <t>EBSボリュームID</t>
    <phoneticPr fontId="1"/>
  </si>
  <si>
    <t>作成時スナップショットID</t>
    <rPh sb="0" eb="3">
      <t>サクセイジ</t>
    </rPh>
    <phoneticPr fontId="1"/>
  </si>
  <si>
    <t>VolumeNameタグ</t>
    <phoneticPr fontId="1"/>
  </si>
  <si>
    <t>ディスク2</t>
    <phoneticPr fontId="1"/>
  </si>
  <si>
    <t>D</t>
  </si>
  <si>
    <t>ディスク3</t>
    <phoneticPr fontId="1"/>
  </si>
  <si>
    <t>ディスク4</t>
    <phoneticPr fontId="1"/>
  </si>
  <si>
    <t>ディスク5</t>
    <phoneticPr fontId="1"/>
  </si>
  <si>
    <t>ディスク6</t>
    <phoneticPr fontId="1"/>
  </si>
  <si>
    <t>ディスク7</t>
    <phoneticPr fontId="1"/>
  </si>
  <si>
    <t>ディスク8</t>
    <phoneticPr fontId="1"/>
  </si>
  <si>
    <t>ディスク9</t>
    <phoneticPr fontId="1"/>
  </si>
  <si>
    <t>ディスク10</t>
    <phoneticPr fontId="1"/>
  </si>
  <si>
    <t>ディスク暗号化</t>
    <rPh sb="4" eb="7">
      <t>アンゴウカ</t>
    </rPh>
    <phoneticPr fontId="1"/>
  </si>
  <si>
    <t>はい</t>
    <phoneticPr fontId="1"/>
  </si>
  <si>
    <t>ディスク暗号化キー</t>
    <rPh sb="4" eb="7">
      <t>アンゴウカ</t>
    </rPh>
    <phoneticPr fontId="1"/>
  </si>
  <si>
    <t>aws/ebs</t>
    <phoneticPr fontId="1"/>
  </si>
  <si>
    <t>ディスク暗号化キーID</t>
    <rPh sb="4" eb="7">
      <t>アンゴウカ</t>
    </rPh>
    <phoneticPr fontId="1"/>
  </si>
  <si>
    <t>運用管理用ユーザー名</t>
    <rPh sb="0" eb="2">
      <t>ウンヨウ</t>
    </rPh>
    <rPh sb="2" eb="5">
      <t>カンリヨウ</t>
    </rPh>
    <rPh sb="9" eb="10">
      <t>メイ</t>
    </rPh>
    <phoneticPr fontId="1"/>
  </si>
  <si>
    <t>sysadmin</t>
    <phoneticPr fontId="1"/>
  </si>
  <si>
    <t>運用管理用パスワード</t>
    <rPh sb="0" eb="5">
      <t>ウンヨウカンリ</t>
    </rPh>
    <phoneticPr fontId="1"/>
  </si>
  <si>
    <t>Admin-pass</t>
    <phoneticPr fontId="1"/>
  </si>
  <si>
    <t>Administrator</t>
    <phoneticPr fontId="1"/>
  </si>
  <si>
    <t>Administratorパスワード</t>
    <phoneticPr fontId="1"/>
  </si>
  <si>
    <t>通信要件</t>
    <rPh sb="0" eb="2">
      <t>ツウシン</t>
    </rPh>
    <rPh sb="2" eb="4">
      <t>ヨウケン</t>
    </rPh>
    <phoneticPr fontId="1"/>
  </si>
  <si>
    <t>その他コメント</t>
    <rPh sb="2" eb="3">
      <t>タ</t>
    </rPh>
    <phoneticPr fontId="1"/>
  </si>
  <si>
    <t>備考</t>
    <rPh sb="0" eb="2">
      <t>ビコウ</t>
    </rPh>
    <phoneticPr fontId="1"/>
  </si>
  <si>
    <t>EC2ヒアリングシート</t>
    <phoneticPr fontId="1"/>
  </si>
  <si>
    <t>改版履歴</t>
    <rPh sb="0" eb="2">
      <t>カイハン</t>
    </rPh>
    <rPh sb="2" eb="4">
      <t>リレキ</t>
    </rPh>
    <phoneticPr fontId="1"/>
  </si>
  <si>
    <t>版数</t>
    <rPh sb="0" eb="2">
      <t>ハンスウ</t>
    </rPh>
    <phoneticPr fontId="19"/>
  </si>
  <si>
    <t>日付</t>
    <rPh sb="0" eb="2">
      <t>ヒヅケ</t>
    </rPh>
    <phoneticPr fontId="19"/>
  </si>
  <si>
    <t>変更内容</t>
    <rPh sb="0" eb="2">
      <t>ヘンコウ</t>
    </rPh>
    <rPh sb="2" eb="4">
      <t>ナイヨウ</t>
    </rPh>
    <phoneticPr fontId="19"/>
  </si>
  <si>
    <t>担当者</t>
    <rPh sb="0" eb="3">
      <t>タントウシャ</t>
    </rPh>
    <phoneticPr fontId="19"/>
  </si>
  <si>
    <t>1.0</t>
    <phoneticPr fontId="1"/>
  </si>
  <si>
    <t>新規作成</t>
    <rPh sb="0" eb="2">
      <t>シンキ</t>
    </rPh>
    <rPh sb="2" eb="4">
      <t>サクセイ</t>
    </rPh>
    <phoneticPr fontId="1"/>
  </si>
  <si>
    <t>K&amp;K小野</t>
    <rPh sb="3" eb="5">
      <t>オノ</t>
    </rPh>
    <phoneticPr fontId="1"/>
  </si>
  <si>
    <t>【凡例】</t>
    <rPh sb="1" eb="3">
      <t>ハンレイ</t>
    </rPh>
    <phoneticPr fontId="1"/>
  </si>
  <si>
    <t>手動で値を入力する項目</t>
    <phoneticPr fontId="1"/>
  </si>
  <si>
    <t>プルダウンから値を選択する項目</t>
    <phoneticPr fontId="1"/>
  </si>
  <si>
    <t>自動反映項目</t>
    <rPh sb="0" eb="2">
      <t>ジドウ</t>
    </rPh>
    <rPh sb="2" eb="4">
      <t>ハンエイ</t>
    </rPh>
    <rPh sb="4" eb="6">
      <t>コウモク</t>
    </rPh>
    <phoneticPr fontId="1"/>
  </si>
  <si>
    <t>サーバ#1</t>
    <phoneticPr fontId="1"/>
  </si>
  <si>
    <t>リージョン</t>
    <phoneticPr fontId="1"/>
  </si>
  <si>
    <t>ランドスケープ(略称)</t>
    <rPh sb="8" eb="10">
      <t>リャクショウ</t>
    </rPh>
    <phoneticPr fontId="1"/>
  </si>
  <si>
    <t>ランドスケープ(表示)</t>
    <rPh sb="8" eb="10">
      <t>ヒョウジ</t>
    </rPh>
    <phoneticPr fontId="1"/>
  </si>
  <si>
    <t>インターネットからの外部接続</t>
    <rPh sb="10" eb="12">
      <t>ガイブ</t>
    </rPh>
    <rPh sb="12" eb="14">
      <t>セツゾク</t>
    </rPh>
    <phoneticPr fontId="1"/>
  </si>
  <si>
    <t>CPU</t>
    <phoneticPr fontId="1"/>
  </si>
  <si>
    <t>メモリー</t>
    <phoneticPr fontId="1"/>
  </si>
  <si>
    <t>OS名</t>
    <rPh sb="2" eb="3">
      <t>メイ</t>
    </rPh>
    <phoneticPr fontId="1"/>
  </si>
  <si>
    <t>ホスト名定義</t>
    <rPh sb="3" eb="4">
      <t>メイ</t>
    </rPh>
    <rPh sb="4" eb="6">
      <t>テイギ</t>
    </rPh>
    <phoneticPr fontId="3"/>
  </si>
  <si>
    <t>システム種類(英数字3桁)</t>
    <rPh sb="4" eb="6">
      <t>シュルイ</t>
    </rPh>
    <rPh sb="7" eb="10">
      <t>エイスウジ</t>
    </rPh>
    <rPh sb="11" eb="12">
      <t>ケタ</t>
    </rPh>
    <phoneticPr fontId="1"/>
  </si>
  <si>
    <t>AWSリージョン</t>
  </si>
  <si>
    <t>コストタグ名定義</t>
    <rPh sb="5" eb="6">
      <t>メイ</t>
    </rPh>
    <rPh sb="6" eb="8">
      <t>テイギ</t>
    </rPh>
    <phoneticPr fontId="3"/>
  </si>
  <si>
    <t>会社略称</t>
    <rPh sb="0" eb="4">
      <t>カイシャリャクショウ</t>
    </rPh>
    <phoneticPr fontId="1"/>
  </si>
  <si>
    <t>部門コード</t>
    <rPh sb="0" eb="2">
      <t>ブモン</t>
    </rPh>
    <phoneticPr fontId="1"/>
  </si>
  <si>
    <t>容量</t>
    <phoneticPr fontId="1"/>
  </si>
  <si>
    <t>※以降の入力項目はAWS運用チームで入力します</t>
    <rPh sb="1" eb="3">
      <t>イコウ</t>
    </rPh>
    <rPh sb="4" eb="8">
      <t>ニュウリョクコウモク</t>
    </rPh>
    <rPh sb="12" eb="14">
      <t>ウンヨウ</t>
    </rPh>
    <rPh sb="18" eb="20">
      <t>ニュウリョク</t>
    </rPh>
    <phoneticPr fontId="1"/>
  </si>
  <si>
    <t>↓</t>
    <phoneticPr fontId="1"/>
  </si>
  <si>
    <t>AMI</t>
    <phoneticPr fontId="1"/>
  </si>
  <si>
    <t>インスタンス終了時削除</t>
    <rPh sb="6" eb="9">
      <t>シュウリョウジ</t>
    </rPh>
    <rPh sb="9" eb="11">
      <t>サクジョ</t>
    </rPh>
    <phoneticPr fontId="1"/>
  </si>
  <si>
    <t>タグ</t>
    <phoneticPr fontId="1"/>
  </si>
  <si>
    <t>キー</t>
    <phoneticPr fontId="1"/>
  </si>
  <si>
    <t>値</t>
    <rPh sb="0" eb="1">
      <t>アタイ</t>
    </rPh>
    <phoneticPr fontId="1"/>
  </si>
  <si>
    <t>セキュリティグループ設定</t>
    <rPh sb="10" eb="12">
      <t>セッテイ</t>
    </rPh>
    <phoneticPr fontId="1"/>
  </si>
  <si>
    <t>インバウンドルール</t>
    <phoneticPr fontId="1"/>
  </si>
  <si>
    <t>タイプ</t>
    <phoneticPr fontId="1"/>
  </si>
  <si>
    <t>プロトコル</t>
    <phoneticPr fontId="1"/>
  </si>
  <si>
    <t>ポート範囲</t>
    <rPh sb="3" eb="5">
      <t>ハンイ</t>
    </rPh>
    <phoneticPr fontId="1"/>
  </si>
  <si>
    <t>ソース</t>
    <phoneticPr fontId="1"/>
  </si>
  <si>
    <t>ルール#1</t>
    <phoneticPr fontId="1"/>
  </si>
  <si>
    <t>ルール#2</t>
    <phoneticPr fontId="1"/>
  </si>
  <si>
    <t>ルール#3</t>
    <phoneticPr fontId="1"/>
  </si>
  <si>
    <t>ルール#4</t>
    <phoneticPr fontId="1"/>
  </si>
  <si>
    <t>ルール#5</t>
    <phoneticPr fontId="1"/>
  </si>
  <si>
    <t>ルール#6</t>
    <phoneticPr fontId="1"/>
  </si>
  <si>
    <t>ルール#7</t>
    <phoneticPr fontId="1"/>
  </si>
  <si>
    <t>ルール#8</t>
    <phoneticPr fontId="1"/>
  </si>
  <si>
    <t>ルール#9</t>
    <phoneticPr fontId="1"/>
  </si>
  <si>
    <t>ルール#10</t>
    <phoneticPr fontId="1"/>
  </si>
  <si>
    <t>アウトバウンドルール</t>
    <phoneticPr fontId="1"/>
  </si>
  <si>
    <t>インスタンス設定</t>
    <rPh sb="6" eb="8">
      <t>セッテイ</t>
    </rPh>
    <phoneticPr fontId="1"/>
  </si>
  <si>
    <t>自動設定（DHCP）</t>
    <rPh sb="0" eb="4">
      <t>ジドウセッテイ</t>
    </rPh>
    <phoneticPr fontId="1"/>
  </si>
  <si>
    <t>設定値</t>
    <rPh sb="0" eb="3">
      <t>セッテイチ</t>
    </rPh>
    <phoneticPr fontId="3"/>
  </si>
  <si>
    <t>ランドスケープ</t>
  </si>
  <si>
    <r>
      <rPr>
        <sz val="12"/>
        <color theme="1"/>
        <rFont val="Meiryo UI"/>
        <family val="3"/>
        <charset val="128"/>
      </rPr>
      <t>配置先</t>
    </r>
    <r>
      <rPr>
        <sz val="12"/>
        <color theme="1"/>
        <rFont val="Consolas"/>
        <family val="3"/>
      </rPr>
      <t>AWS</t>
    </r>
    <r>
      <rPr>
        <sz val="12"/>
        <color theme="1"/>
        <rFont val="Meiryo UI"/>
        <family val="3"/>
        <charset val="128"/>
      </rPr>
      <t>アカウント</t>
    </r>
    <r>
      <rPr>
        <sz val="12"/>
        <color theme="1"/>
        <rFont val="Consolas"/>
        <family val="3"/>
      </rPr>
      <t>ID</t>
    </r>
    <rPh sb="0" eb="2">
      <t>ハイチ</t>
    </rPh>
    <rPh sb="2" eb="3">
      <t>サキ</t>
    </rPh>
    <phoneticPr fontId="3"/>
  </si>
  <si>
    <r>
      <rPr>
        <sz val="12"/>
        <color theme="1"/>
        <rFont val="Meiryo UI"/>
        <family val="3"/>
        <charset val="128"/>
      </rPr>
      <t>配置先</t>
    </r>
    <r>
      <rPr>
        <sz val="12"/>
        <color theme="1"/>
        <rFont val="Consolas"/>
        <family val="3"/>
      </rPr>
      <t>AWS</t>
    </r>
    <r>
      <rPr>
        <sz val="12"/>
        <color theme="1"/>
        <rFont val="Meiryo UI"/>
        <family val="3"/>
        <charset val="128"/>
      </rPr>
      <t>アカウント名</t>
    </r>
    <rPh sb="11" eb="12">
      <t>メイ</t>
    </rPh>
    <phoneticPr fontId="3"/>
  </si>
  <si>
    <r>
      <rPr>
        <sz val="12"/>
        <color theme="1"/>
        <rFont val="Meiryo UI"/>
        <family val="3"/>
        <charset val="128"/>
      </rPr>
      <t>配置先</t>
    </r>
    <r>
      <rPr>
        <sz val="12"/>
        <color theme="1"/>
        <rFont val="Consolas"/>
        <family val="3"/>
      </rPr>
      <t>VPC</t>
    </r>
    <rPh sb="0" eb="2">
      <t>ハイチ</t>
    </rPh>
    <rPh sb="2" eb="3">
      <t>サキ</t>
    </rPh>
    <phoneticPr fontId="3"/>
  </si>
  <si>
    <r>
      <rPr>
        <sz val="12"/>
        <color theme="1"/>
        <rFont val="Meiryo UI"/>
        <family val="3"/>
        <charset val="128"/>
      </rPr>
      <t>配置先サブネット</t>
    </r>
    <rPh sb="0" eb="2">
      <t>ハイチ</t>
    </rPh>
    <rPh sb="2" eb="3">
      <t>サキ</t>
    </rPh>
    <phoneticPr fontId="3"/>
  </si>
  <si>
    <t>AMIID</t>
    <phoneticPr fontId="3"/>
  </si>
  <si>
    <r>
      <rPr>
        <sz val="12"/>
        <rFont val="Meiryo UI"/>
        <family val="3"/>
        <charset val="128"/>
      </rPr>
      <t>システム種類</t>
    </r>
    <rPh sb="4" eb="6">
      <t>シュルイ</t>
    </rPh>
    <phoneticPr fontId="3"/>
  </si>
  <si>
    <r>
      <rPr>
        <sz val="12"/>
        <color theme="1"/>
        <rFont val="Meiryo UI"/>
        <family val="3"/>
        <charset val="128"/>
      </rPr>
      <t>環境種類</t>
    </r>
    <rPh sb="0" eb="2">
      <t>カンキョウ</t>
    </rPh>
    <rPh sb="2" eb="4">
      <t>シュルイ</t>
    </rPh>
    <phoneticPr fontId="3"/>
  </si>
  <si>
    <r>
      <rPr>
        <sz val="12"/>
        <color theme="1"/>
        <rFont val="Meiryo UI"/>
        <family val="3"/>
        <charset val="128"/>
      </rPr>
      <t>会社コード</t>
    </r>
    <rPh sb="0" eb="2">
      <t>カイシャ</t>
    </rPh>
    <phoneticPr fontId="3"/>
  </si>
  <si>
    <t>AWSリージョン</t>
    <phoneticPr fontId="3"/>
  </si>
  <si>
    <r>
      <rPr>
        <sz val="12"/>
        <color theme="1"/>
        <rFont val="Meiryo UI"/>
        <family val="3"/>
        <charset val="128"/>
      </rPr>
      <t>サーバ種類</t>
    </r>
    <rPh sb="3" eb="5">
      <t>シュルイ</t>
    </rPh>
    <phoneticPr fontId="3"/>
  </si>
  <si>
    <r>
      <rPr>
        <sz val="12"/>
        <color theme="1"/>
        <rFont val="Meiryo UI"/>
        <family val="3"/>
        <charset val="128"/>
      </rPr>
      <t>連番</t>
    </r>
    <rPh sb="0" eb="2">
      <t>レンバン</t>
    </rPh>
    <phoneticPr fontId="3"/>
  </si>
  <si>
    <t>インスタンスID</t>
    <phoneticPr fontId="3"/>
  </si>
  <si>
    <r>
      <rPr>
        <sz val="12"/>
        <color theme="1"/>
        <rFont val="Meiryo UI"/>
        <family val="3"/>
        <charset val="128"/>
      </rPr>
      <t>ホスト名</t>
    </r>
    <rPh sb="3" eb="4">
      <t>メイ</t>
    </rPh>
    <phoneticPr fontId="3"/>
  </si>
  <si>
    <t>Nameタグ</t>
    <phoneticPr fontId="3"/>
  </si>
  <si>
    <t>Cドライブ(root)</t>
    <phoneticPr fontId="3"/>
  </si>
  <si>
    <t>ディスク暗号化</t>
    <rPh sb="4" eb="7">
      <t>アンゴウカ</t>
    </rPh>
    <phoneticPr fontId="3"/>
  </si>
  <si>
    <t>ディスク暗号化キー</t>
    <rPh sb="4" eb="7">
      <t>アンゴウカ</t>
    </rPh>
    <phoneticPr fontId="3"/>
  </si>
  <si>
    <t>VPC</t>
    <phoneticPr fontId="3"/>
  </si>
  <si>
    <t>サブネット</t>
    <phoneticPr fontId="3"/>
  </si>
  <si>
    <t>サブネット(subnet-id)</t>
    <phoneticPr fontId="3"/>
  </si>
  <si>
    <t>サブネット(CIDR)</t>
    <phoneticPr fontId="3"/>
  </si>
  <si>
    <t>セキュリティグループ#1</t>
    <phoneticPr fontId="3"/>
  </si>
  <si>
    <t>セキュリティグループ#2</t>
    <phoneticPr fontId="3"/>
  </si>
  <si>
    <t>ルール#2</t>
  </si>
  <si>
    <t>ルール#3</t>
  </si>
  <si>
    <t>ルール#4</t>
  </si>
  <si>
    <t>IAMRole</t>
    <phoneticPr fontId="3"/>
  </si>
  <si>
    <r>
      <rPr>
        <sz val="12"/>
        <color theme="1"/>
        <rFont val="Meiryo UI"/>
        <family val="3"/>
        <charset val="128"/>
      </rPr>
      <t>キーペア名</t>
    </r>
    <rPh sb="4" eb="5">
      <t>メイ</t>
    </rPh>
    <phoneticPr fontId="3"/>
  </si>
  <si>
    <t>DNS#1</t>
    <phoneticPr fontId="3"/>
  </si>
  <si>
    <t>DNS#2</t>
    <phoneticPr fontId="3"/>
  </si>
  <si>
    <t>NTP</t>
    <phoneticPr fontId="3"/>
  </si>
  <si>
    <r>
      <rPr>
        <sz val="12"/>
        <color theme="1"/>
        <rFont val="Meiryo UI"/>
        <family val="3"/>
        <charset val="128"/>
      </rPr>
      <t>運用管理用ユーザー名</t>
    </r>
    <rPh sb="0" eb="2">
      <t>ウンヨウ</t>
    </rPh>
    <rPh sb="2" eb="5">
      <t>カンリヨウ</t>
    </rPh>
    <rPh sb="9" eb="10">
      <t>メイ</t>
    </rPh>
    <phoneticPr fontId="3"/>
  </si>
  <si>
    <r>
      <rPr>
        <sz val="12"/>
        <color theme="1"/>
        <rFont val="Meiryo UI"/>
        <family val="3"/>
        <charset val="128"/>
      </rPr>
      <t>運用管理用パスワード</t>
    </r>
    <rPh sb="0" eb="5">
      <t>ウンヨウカンリ</t>
    </rPh>
    <phoneticPr fontId="3"/>
  </si>
  <si>
    <t>備考</t>
    <phoneticPr fontId="1"/>
  </si>
  <si>
    <t>EC2_インスタンス</t>
    <phoneticPr fontId="1"/>
  </si>
  <si>
    <t>項目</t>
    <rPh sb="0" eb="2">
      <t>コウモク</t>
    </rPh>
    <phoneticPr fontId="1"/>
  </si>
  <si>
    <t>サーバ名称</t>
    <rPh sb="3" eb="5">
      <t>メイショウ</t>
    </rPh>
    <phoneticPr fontId="1"/>
  </si>
  <si>
    <t>OS</t>
    <phoneticPr fontId="1"/>
  </si>
  <si>
    <t>インスタンスタイプ</t>
    <phoneticPr fontId="1"/>
  </si>
  <si>
    <t>VPC名</t>
    <rPh sb="3" eb="4">
      <t>メイ</t>
    </rPh>
    <phoneticPr fontId="1"/>
  </si>
  <si>
    <t>VPC ID</t>
    <phoneticPr fontId="1"/>
  </si>
  <si>
    <t>サブネット名</t>
    <rPh sb="5" eb="6">
      <t>メイ</t>
    </rPh>
    <phoneticPr fontId="1"/>
  </si>
  <si>
    <t>サブネット ID</t>
    <phoneticPr fontId="1"/>
  </si>
  <si>
    <t>アベイラビリティーゾーン</t>
    <phoneticPr fontId="1"/>
  </si>
  <si>
    <t>EBS Optimized</t>
    <phoneticPr fontId="1"/>
  </si>
  <si>
    <t>Termination Protection</t>
    <phoneticPr fontId="1"/>
  </si>
  <si>
    <t>KeyPair名称</t>
    <rPh sb="7" eb="9">
      <t>メイショウ</t>
    </rPh>
    <phoneticPr fontId="1"/>
  </si>
  <si>
    <t>オリジナルAMI ID</t>
  </si>
  <si>
    <t>オリジナルAMI 名称</t>
    <rPh sb="9" eb="11">
      <t>メイショウ</t>
    </rPh>
    <phoneticPr fontId="1"/>
  </si>
  <si>
    <t>セキュリティ</t>
    <phoneticPr fontId="1"/>
  </si>
  <si>
    <t>IAMロール</t>
    <phoneticPr fontId="1"/>
  </si>
  <si>
    <t>ネットワーク</t>
    <phoneticPr fontId="1"/>
  </si>
  <si>
    <t>Network Interface ID</t>
    <phoneticPr fontId="1"/>
  </si>
  <si>
    <t>パブリックIPアドレス</t>
    <phoneticPr fontId="1"/>
  </si>
  <si>
    <t>タグ#1</t>
    <phoneticPr fontId="1"/>
  </si>
  <si>
    <t>Key</t>
    <phoneticPr fontId="1"/>
  </si>
  <si>
    <t>Value</t>
    <phoneticPr fontId="1"/>
  </si>
  <si>
    <t>タグ#2</t>
    <phoneticPr fontId="1"/>
  </si>
  <si>
    <t>タグ#3</t>
    <phoneticPr fontId="1"/>
  </si>
  <si>
    <t>タグ#4</t>
    <phoneticPr fontId="1"/>
  </si>
  <si>
    <t>EBSボリューム構成</t>
    <rPh sb="8" eb="10">
      <t>コウセイ</t>
    </rPh>
    <phoneticPr fontId="1"/>
  </si>
  <si>
    <t>EBSボリューム1</t>
    <phoneticPr fontId="1"/>
  </si>
  <si>
    <t>EBSボリューム ID</t>
    <phoneticPr fontId="1"/>
  </si>
  <si>
    <t>サイズ</t>
    <phoneticPr fontId="1"/>
  </si>
  <si>
    <t>暗号化</t>
    <phoneticPr fontId="1"/>
  </si>
  <si>
    <t>暗号化キー</t>
    <rPh sb="0" eb="3">
      <t>アンゴウカ</t>
    </rPh>
    <phoneticPr fontId="1"/>
  </si>
  <si>
    <t>EBSボリューム2</t>
    <phoneticPr fontId="1"/>
  </si>
  <si>
    <t>EBSボリューム3</t>
    <phoneticPr fontId="1"/>
  </si>
  <si>
    <t>EBSボリューム4</t>
    <phoneticPr fontId="1"/>
  </si>
  <si>
    <t>EBSボリューム5</t>
    <phoneticPr fontId="1"/>
  </si>
  <si>
    <t>EBSボリューム6</t>
    <phoneticPr fontId="1"/>
  </si>
  <si>
    <t>EBSボリューム7</t>
    <phoneticPr fontId="1"/>
  </si>
  <si>
    <t>EBSボリューム8</t>
    <phoneticPr fontId="1"/>
  </si>
  <si>
    <t>EBSボリューム9</t>
    <phoneticPr fontId="1"/>
  </si>
  <si>
    <t>EBSボリューム10</t>
    <phoneticPr fontId="1"/>
  </si>
  <si>
    <t>【テーブル新規追加】</t>
    <rPh sb="5" eb="7">
      <t>シンキ</t>
    </rPh>
    <rPh sb="7" eb="9">
      <t>ツイカ</t>
    </rPh>
    <phoneticPr fontId="1"/>
  </si>
  <si>
    <t>【テーブル列追加】</t>
    <rPh sb="5" eb="6">
      <t>レツ</t>
    </rPh>
    <rPh sb="6" eb="8">
      <t>ツイカ</t>
    </rPh>
    <phoneticPr fontId="1"/>
  </si>
  <si>
    <t>【テーブル行追加】</t>
    <rPh sb="5" eb="6">
      <t>ギョウ</t>
    </rPh>
    <rPh sb="6" eb="8">
      <t>ツイカ</t>
    </rPh>
    <phoneticPr fontId="1"/>
  </si>
  <si>
    <t>※テーブルの末尾に値を追加したい場合、最終行直後のセルに値を入力するとテーブルに追加されます。</t>
    <rPh sb="6" eb="8">
      <t>マツビ</t>
    </rPh>
    <rPh sb="9" eb="10">
      <t>アタイ</t>
    </rPh>
    <rPh sb="11" eb="13">
      <t>ツイカ</t>
    </rPh>
    <rPh sb="16" eb="18">
      <t>バアイ</t>
    </rPh>
    <rPh sb="19" eb="22">
      <t>サイシュウギョウ</t>
    </rPh>
    <rPh sb="22" eb="24">
      <t>チョクゴ</t>
    </rPh>
    <rPh sb="28" eb="29">
      <t>アタイ</t>
    </rPh>
    <rPh sb="30" eb="32">
      <t>ニュウリョク</t>
    </rPh>
    <rPh sb="40" eb="42">
      <t>ツイカ</t>
    </rPh>
    <phoneticPr fontId="1"/>
  </si>
  <si>
    <t>[アカウント]</t>
    <phoneticPr fontId="1"/>
  </si>
  <si>
    <t>[本番外部アカウント]</t>
    <rPh sb="1" eb="3">
      <t>ホンバン</t>
    </rPh>
    <rPh sb="3" eb="5">
      <t>ガイブ</t>
    </rPh>
    <phoneticPr fontId="1"/>
  </si>
  <si>
    <t>用途</t>
    <rPh sb="0" eb="2">
      <t>ヨウト</t>
    </rPh>
    <phoneticPr fontId="1"/>
  </si>
  <si>
    <t>アカウント名</t>
    <rPh sb="5" eb="6">
      <t>メイ</t>
    </rPh>
    <phoneticPr fontId="1"/>
  </si>
  <si>
    <t>表示名</t>
    <rPh sb="0" eb="3">
      <t>ヒョウジメイ</t>
    </rPh>
    <phoneticPr fontId="1"/>
  </si>
  <si>
    <t>[本番][外部]スタンダード</t>
  </si>
  <si>
    <t>ebr-serv-standard-prd-external</t>
    <phoneticPr fontId="1"/>
  </si>
  <si>
    <t>[本番][外部]S/4 HANA</t>
    <phoneticPr fontId="1"/>
  </si>
  <si>
    <t>ebr-serv-advanced-s4hana-prd-external</t>
    <phoneticPr fontId="1"/>
  </si>
  <si>
    <t>[本番内部アカウント]</t>
    <rPh sb="1" eb="3">
      <t>ホンバン</t>
    </rPh>
    <rPh sb="3" eb="5">
      <t>ナイブ</t>
    </rPh>
    <phoneticPr fontId="1"/>
  </si>
  <si>
    <t>[本番][内部]運用管理</t>
  </si>
  <si>
    <t>ebr-serv-monitoring-prd-internal</t>
    <phoneticPr fontId="1"/>
  </si>
  <si>
    <t>[本番][内部]スタンダード</t>
  </si>
  <si>
    <t>ebr-serv-standard-prd-internal</t>
    <phoneticPr fontId="1"/>
  </si>
  <si>
    <t>[本番][内部]S/4 HANA</t>
    <phoneticPr fontId="1"/>
  </si>
  <si>
    <t>ebr-serv-advanced-s4hana-prd-internal</t>
    <phoneticPr fontId="1"/>
  </si>
  <si>
    <t>[本番][内部]リシテア</t>
  </si>
  <si>
    <t>ebr-serv-advanced-lysithea-prd-internal</t>
    <phoneticPr fontId="1"/>
  </si>
  <si>
    <t>[開発外部アカウント]</t>
    <rPh sb="1" eb="3">
      <t>カイハツ</t>
    </rPh>
    <rPh sb="3" eb="5">
      <t>ガイブ</t>
    </rPh>
    <phoneticPr fontId="1"/>
  </si>
  <si>
    <t>[開発][外部]スタンダード</t>
  </si>
  <si>
    <t>ebr-serv-standard-dev-external</t>
    <phoneticPr fontId="1"/>
  </si>
  <si>
    <t>[開発][外部]S/4 HANA</t>
    <phoneticPr fontId="1"/>
  </si>
  <si>
    <t>ebr-serv-advanced-s4hana-dev-external</t>
    <phoneticPr fontId="1"/>
  </si>
  <si>
    <t>[開発内部アカウント]</t>
    <rPh sb="1" eb="3">
      <t>カイハツ</t>
    </rPh>
    <rPh sb="3" eb="5">
      <t>ナイブ</t>
    </rPh>
    <phoneticPr fontId="1"/>
  </si>
  <si>
    <t>[開発][内部]運用管理</t>
  </si>
  <si>
    <t>ebr-serv-monitoring-dev-internal</t>
    <phoneticPr fontId="1"/>
  </si>
  <si>
    <t>[開発][内部]スタンダード</t>
  </si>
  <si>
    <t>ebr-serv-standard-dev-internal</t>
    <phoneticPr fontId="1"/>
  </si>
  <si>
    <t>[開発][内部]S/4 HANA</t>
    <phoneticPr fontId="1"/>
  </si>
  <si>
    <t>ebr-serv-advanced-s4hana-dev-internal</t>
    <phoneticPr fontId="1"/>
  </si>
  <si>
    <t>[開発][内部]リシテア</t>
  </si>
  <si>
    <t>ebr-serv-advanced-lysithea-dev-internal</t>
    <phoneticPr fontId="1"/>
  </si>
  <si>
    <t>[ランドスケープ]</t>
    <phoneticPr fontId="1"/>
  </si>
  <si>
    <t>名前</t>
    <rPh sb="0" eb="2">
      <t>ナマエ</t>
    </rPh>
    <phoneticPr fontId="1"/>
  </si>
  <si>
    <t>略称</t>
    <rPh sb="0" eb="2">
      <t>リャクショウ</t>
    </rPh>
    <phoneticPr fontId="1"/>
  </si>
  <si>
    <t>本番</t>
    <rPh sb="0" eb="2">
      <t>ホンバン</t>
    </rPh>
    <phoneticPr fontId="1"/>
  </si>
  <si>
    <t>prd</t>
  </si>
  <si>
    <t>dev</t>
  </si>
  <si>
    <t>検証</t>
    <rPh sb="0" eb="2">
      <t>ケンショウ</t>
    </rPh>
    <phoneticPr fontId="1"/>
  </si>
  <si>
    <t>qas</t>
  </si>
  <si>
    <t>リハーサル</t>
    <phoneticPr fontId="1"/>
  </si>
  <si>
    <t>reh</t>
  </si>
  <si>
    <t>トレーニング</t>
    <phoneticPr fontId="1"/>
  </si>
  <si>
    <t>tra</t>
  </si>
  <si>
    <t>サンドボックス</t>
    <phoneticPr fontId="1"/>
  </si>
  <si>
    <t>san</t>
  </si>
  <si>
    <t>デモ</t>
  </si>
  <si>
    <t>dem</t>
  </si>
  <si>
    <t>[内部]</t>
    <rPh sb="1" eb="3">
      <t>ナイブ</t>
    </rPh>
    <phoneticPr fontId="1"/>
  </si>
  <si>
    <t>サブネット</t>
    <phoneticPr fontId="1"/>
  </si>
  <si>
    <t>不要</t>
    <rPh sb="0" eb="2">
      <t>フヨウ</t>
    </rPh>
    <phoneticPr fontId="1"/>
  </si>
  <si>
    <t>プライベートサブネット</t>
    <phoneticPr fontId="1"/>
  </si>
  <si>
    <t>[外部]</t>
    <rPh sb="1" eb="3">
      <t>ガイブ</t>
    </rPh>
    <phoneticPr fontId="1"/>
  </si>
  <si>
    <t>パブリックサブネット</t>
    <phoneticPr fontId="1"/>
  </si>
  <si>
    <t>必要</t>
    <rPh sb="0" eb="2">
      <t>ヒツヨウ</t>
    </rPh>
    <phoneticPr fontId="1"/>
  </si>
  <si>
    <t>アベイラビリティゾーン</t>
    <phoneticPr fontId="1"/>
  </si>
  <si>
    <t>ap-northeast-1a</t>
  </si>
  <si>
    <t>ap-northeast-1c</t>
    <phoneticPr fontId="1"/>
  </si>
  <si>
    <t>ap-northeast-1d</t>
    <phoneticPr fontId="1"/>
  </si>
  <si>
    <t>[OS Windows]</t>
    <phoneticPr fontId="1"/>
  </si>
  <si>
    <t>[OS Linux]</t>
    <phoneticPr fontId="1"/>
  </si>
  <si>
    <t>RHEL-8.2.0_HVM-20200423-x86_64-0-Hourly2-GP2</t>
    <phoneticPr fontId="1"/>
  </si>
  <si>
    <t>ami-07dd14faa8a17fb3e</t>
    <phoneticPr fontId="1"/>
  </si>
  <si>
    <t>RHEL-8.4.0_HVM-20210504-x86_64-2-Hourly2-GP2</t>
    <phoneticPr fontId="1"/>
  </si>
  <si>
    <t>ami-0bccc42bba4dedac1</t>
    <phoneticPr fontId="1"/>
  </si>
  <si>
    <t>[IAMRole]</t>
    <phoneticPr fontId="1"/>
  </si>
  <si>
    <t>Windows</t>
    <phoneticPr fontId="1"/>
  </si>
  <si>
    <t>Linux</t>
    <phoneticPr fontId="1"/>
  </si>
  <si>
    <t>ec2role-ssm-managed-access</t>
    <phoneticPr fontId="1"/>
  </si>
  <si>
    <t>[インスタンスタイプ]</t>
    <phoneticPr fontId="1"/>
  </si>
  <si>
    <t>表示</t>
    <rPh sb="0" eb="2">
      <t>ヒョウジ</t>
    </rPh>
    <phoneticPr fontId="1"/>
  </si>
  <si>
    <t>種別</t>
    <rPh sb="0" eb="2">
      <t>シュベツ</t>
    </rPh>
    <phoneticPr fontId="1"/>
  </si>
  <si>
    <t>vCPU</t>
    <phoneticPr fontId="1"/>
  </si>
  <si>
    <t>Memory</t>
    <phoneticPr fontId="1"/>
  </si>
  <si>
    <t>バースト</t>
  </si>
  <si>
    <t>t3.medium</t>
  </si>
  <si>
    <t>2(20%)</t>
  </si>
  <si>
    <t>t3.large</t>
  </si>
  <si>
    <t>2(30%)</t>
  </si>
  <si>
    <t>t3.xlarge</t>
  </si>
  <si>
    <t>4(40%)</t>
  </si>
  <si>
    <t>t3.2xlarge</t>
  </si>
  <si>
    <t>8(40%)</t>
  </si>
  <si>
    <t>CPU強化</t>
    <rPh sb="3" eb="5">
      <t>キョウカ</t>
    </rPh>
    <phoneticPr fontId="1"/>
  </si>
  <si>
    <t>c5.large</t>
  </si>
  <si>
    <t>c5.xlarge</t>
  </si>
  <si>
    <t>c5.2xlarge</t>
  </si>
  <si>
    <t>c5.4xlarge</t>
  </si>
  <si>
    <t>c5.9xlarge</t>
  </si>
  <si>
    <t>c5.12xlarge</t>
  </si>
  <si>
    <t>c5.18xlarge</t>
  </si>
  <si>
    <t>c5.24xlarge</t>
  </si>
  <si>
    <t>標準</t>
    <rPh sb="0" eb="2">
      <t>ヒョウジュン</t>
    </rPh>
    <phoneticPr fontId="1"/>
  </si>
  <si>
    <t>m5.large</t>
  </si>
  <si>
    <t>m5.xlarge</t>
  </si>
  <si>
    <t>m5.2xlarge</t>
  </si>
  <si>
    <t>m5.4xlarge</t>
  </si>
  <si>
    <t>m5.8xlarge</t>
  </si>
  <si>
    <t>m5.12xlarge</t>
  </si>
  <si>
    <t>m5.16xlarge</t>
  </si>
  <si>
    <t>m5.24xlarge</t>
  </si>
  <si>
    <t>メモリー強化</t>
    <rPh sb="4" eb="6">
      <t>キョウカ</t>
    </rPh>
    <phoneticPr fontId="1"/>
  </si>
  <si>
    <t>r5.large</t>
  </si>
  <si>
    <t>r5.xlarge</t>
  </si>
  <si>
    <t>r5.2xlarge</t>
  </si>
  <si>
    <t>r5.4xlarge</t>
  </si>
  <si>
    <t>r5.8xlarge</t>
  </si>
  <si>
    <t>r5.12xlarge</t>
  </si>
  <si>
    <t>r5.16xlarge</t>
  </si>
  <si>
    <t>r5.24xlarge</t>
  </si>
  <si>
    <t>[EBSボリュームタイプ]</t>
    <phoneticPr fontId="1"/>
  </si>
  <si>
    <t>gp2</t>
    <phoneticPr fontId="1"/>
  </si>
  <si>
    <t>gp3</t>
    <phoneticPr fontId="1"/>
  </si>
  <si>
    <t>io1</t>
    <phoneticPr fontId="1"/>
  </si>
  <si>
    <t>io2</t>
    <phoneticPr fontId="1"/>
  </si>
  <si>
    <t>sc1</t>
    <phoneticPr fontId="1"/>
  </si>
  <si>
    <t>st1</t>
    <phoneticPr fontId="1"/>
  </si>
  <si>
    <t>standard</t>
    <phoneticPr fontId="1"/>
  </si>
  <si>
    <t>[ホスト名定義]</t>
    <rPh sb="4" eb="5">
      <t>メイ</t>
    </rPh>
    <rPh sb="5" eb="7">
      <t>テイギ</t>
    </rPh>
    <phoneticPr fontId="1"/>
  </si>
  <si>
    <t>本番</t>
    <phoneticPr fontId="1"/>
  </si>
  <si>
    <t>p：本番</t>
    <phoneticPr fontId="1"/>
  </si>
  <si>
    <t>z0：共通利用</t>
    <phoneticPr fontId="1"/>
  </si>
  <si>
    <t>アジアパシフィック (東京)</t>
    <phoneticPr fontId="1"/>
  </si>
  <si>
    <t>tyo：東京</t>
    <phoneticPr fontId="1"/>
  </si>
  <si>
    <t>ap：アプリケーションサーバ</t>
    <phoneticPr fontId="1"/>
  </si>
  <si>
    <t>d：開発</t>
    <rPh sb="2" eb="4">
      <t>カイハツ</t>
    </rPh>
    <phoneticPr fontId="1"/>
  </si>
  <si>
    <t>01：荏原製作所(EBR)</t>
    <phoneticPr fontId="1"/>
  </si>
  <si>
    <t>db：データベースサーバ</t>
    <phoneticPr fontId="1"/>
  </si>
  <si>
    <t>検証</t>
    <phoneticPr fontId="1"/>
  </si>
  <si>
    <t>q：検証</t>
    <phoneticPr fontId="1"/>
  </si>
  <si>
    <t>wb：Webサーバ</t>
    <phoneticPr fontId="1"/>
  </si>
  <si>
    <t>r：リハーサル</t>
    <phoneticPr fontId="1"/>
  </si>
  <si>
    <t>mg：管理(マネージャー)サーバ</t>
    <phoneticPr fontId="1"/>
  </si>
  <si>
    <t>t：トレーニング</t>
    <phoneticPr fontId="1"/>
  </si>
  <si>
    <t>s：サンドボックス</t>
    <phoneticPr fontId="1"/>
  </si>
  <si>
    <t>デモ</t>
    <phoneticPr fontId="1"/>
  </si>
  <si>
    <t>m：デモ</t>
    <phoneticPr fontId="1"/>
  </si>
  <si>
    <t>[本番]運用管理</t>
    <phoneticPr fontId="1"/>
  </si>
  <si>
    <t>アカウント</t>
    <phoneticPr fontId="1"/>
  </si>
  <si>
    <t>アカウントID</t>
    <phoneticPr fontId="1"/>
  </si>
  <si>
    <t>アカウント用途</t>
    <rPh sb="5" eb="7">
      <t>ヨウト</t>
    </rPh>
    <phoneticPr fontId="1"/>
  </si>
  <si>
    <t>VPC</t>
    <phoneticPr fontId="1"/>
  </si>
  <si>
    <t>検索Key</t>
    <rPh sb="0" eb="2">
      <t>ケンサク</t>
    </rPh>
    <phoneticPr fontId="1"/>
  </si>
  <si>
    <t>CIDR</t>
    <phoneticPr fontId="1"/>
  </si>
  <si>
    <t>サブネットID</t>
    <phoneticPr fontId="1"/>
  </si>
  <si>
    <t>222545066166</t>
    <phoneticPr fontId="1"/>
  </si>
  <si>
    <t>[本番][内部]運用管理</t>
    <rPh sb="5" eb="7">
      <t>ナイブ</t>
    </rPh>
    <phoneticPr fontId="1"/>
  </si>
  <si>
    <t>vpc-monitoring-prd-internal</t>
    <phoneticPr fontId="1"/>
  </si>
  <si>
    <t>vpc-0eb0aff0672ec5de7</t>
    <phoneticPr fontId="1"/>
  </si>
  <si>
    <t>subnet-protect-1a</t>
    <phoneticPr fontId="1"/>
  </si>
  <si>
    <t>ap-northeast-1a</t>
    <phoneticPr fontId="1"/>
  </si>
  <si>
    <t>172.29.130.0/25</t>
  </si>
  <si>
    <t>subnet-00fdf900cedc94399</t>
  </si>
  <si>
    <t>subnet-protect-1c</t>
    <phoneticPr fontId="1"/>
  </si>
  <si>
    <t>172.29.130.128/25</t>
  </si>
  <si>
    <t>subnet-01f94599a17bdf5ff</t>
  </si>
  <si>
    <t>subnet-private-1a</t>
    <phoneticPr fontId="1"/>
  </si>
  <si>
    <t>172.29.131.0/27</t>
  </si>
  <si>
    <t>subnet-018ead30923ce0130</t>
  </si>
  <si>
    <t>subnet-private-1c</t>
    <phoneticPr fontId="1"/>
  </si>
  <si>
    <t>172.29.131.32/27</t>
  </si>
  <si>
    <t>subnet-014cecc1e77e9af68</t>
  </si>
  <si>
    <t>subnet-private-1d</t>
    <phoneticPr fontId="1"/>
  </si>
  <si>
    <t>172.29.131.64/27</t>
  </si>
  <si>
    <t>subnet-09cb4c7f031bcd280</t>
  </si>
  <si>
    <t>[開発]運用管理</t>
    <rPh sb="1" eb="3">
      <t>カイハツ</t>
    </rPh>
    <phoneticPr fontId="1"/>
  </si>
  <si>
    <t>アカウント</t>
  </si>
  <si>
    <t>アカウントID</t>
  </si>
  <si>
    <t>VPC</t>
  </si>
  <si>
    <t>VPC ID</t>
  </si>
  <si>
    <t>サブネット</t>
  </si>
  <si>
    <t>アベイラビリティゾーン</t>
  </si>
  <si>
    <t>CIDR</t>
  </si>
  <si>
    <t>サブネットID</t>
  </si>
  <si>
    <t>176814532657</t>
  </si>
  <si>
    <t>[開発][内部]運用管理</t>
    <phoneticPr fontId="1"/>
  </si>
  <si>
    <t>vpc-monitoring-dev-internal</t>
  </si>
  <si>
    <t>vpc-0805e4d65086bde2b</t>
  </si>
  <si>
    <t>172.29.132.0/25</t>
  </si>
  <si>
    <t>subnet-0aaacc47de54bb19e</t>
  </si>
  <si>
    <t>ap-northeast-1c</t>
  </si>
  <si>
    <t>172.29.132.128/25</t>
  </si>
  <si>
    <t>subnet-06e557ac678ec0f25</t>
  </si>
  <si>
    <t>172.29.133.0/27</t>
  </si>
  <si>
    <t>subnet-0abfa6c932b08f132</t>
  </si>
  <si>
    <t>172.29.133.32/27</t>
  </si>
  <si>
    <t>subnet-0b8490a723b4aa74f</t>
  </si>
  <si>
    <t>ap-northeast-1d</t>
  </si>
  <si>
    <t>172.29.133.64/27</t>
  </si>
  <si>
    <t>subnet-0f7a72e8fb1fbe0df</t>
  </si>
  <si>
    <t>[本番][内部]スタンダード</t>
    <phoneticPr fontId="1"/>
  </si>
  <si>
    <t>293933588384</t>
  </si>
  <si>
    <t>vpc-standard-prd-internal</t>
  </si>
  <si>
    <t>vpc-0866e45c7ef02da96</t>
  </si>
  <si>
    <t>172.29.161.0/24</t>
  </si>
  <si>
    <t>subnet-05be459b47ad9b38c</t>
  </si>
  <si>
    <t>172.29.162.0/24</t>
  </si>
  <si>
    <t>subnet-0fddcedf4827827e6</t>
  </si>
  <si>
    <t>subnet-protect-1d</t>
    <phoneticPr fontId="1"/>
  </si>
  <si>
    <t>172.29.163.0/24</t>
  </si>
  <si>
    <t>subnet-06917b7fa5046709e</t>
  </si>
  <si>
    <t>172.29.164.0/24</t>
  </si>
  <si>
    <t>subnet-0b572438ad0944cd5</t>
  </si>
  <si>
    <t>172.29.165.0/24</t>
  </si>
  <si>
    <t>subnet-0997877fc40979783</t>
  </si>
  <si>
    <t>172.29.166.0/24</t>
  </si>
  <si>
    <t>subnet-0f53df11a95ccfb61</t>
  </si>
  <si>
    <t>[本番][外部]スタンダード</t>
    <rPh sb="5" eb="7">
      <t>ガイブ</t>
    </rPh>
    <phoneticPr fontId="1"/>
  </si>
  <si>
    <t>ebr-serv-standard-prd-external</t>
  </si>
  <si>
    <t>774943684413</t>
  </si>
  <si>
    <t>vpc-standard-prd-external</t>
  </si>
  <si>
    <t>vpc-0abc6e418660d9d23</t>
  </si>
  <si>
    <t>subnet-public-1a</t>
    <phoneticPr fontId="1"/>
  </si>
  <si>
    <t>172.29.193.0/24</t>
  </si>
  <si>
    <t>subnet-0f4335905b44080cf</t>
  </si>
  <si>
    <t>subnet-public-1c</t>
    <phoneticPr fontId="1"/>
  </si>
  <si>
    <t>172.29.194.0/24</t>
  </si>
  <si>
    <t>subnet-0f92dfe3ac9591d5a</t>
  </si>
  <si>
    <t>subnet-public-1d</t>
    <phoneticPr fontId="1"/>
  </si>
  <si>
    <t>172.29.195.0/24</t>
  </si>
  <si>
    <t>subnet-06bbde5fb826b352a</t>
  </si>
  <si>
    <t>172.29.196.0/24</t>
  </si>
  <si>
    <t>subnet-05b6e4834b8954709</t>
  </si>
  <si>
    <t>172.29.197.0/24</t>
  </si>
  <si>
    <t>subnet-0fd8f3478604d417b</t>
  </si>
  <si>
    <t>172.29.198.0/24</t>
  </si>
  <si>
    <t>subnet-0d8cf8362c0beff5c</t>
  </si>
  <si>
    <t>172.29.199.0/24</t>
  </si>
  <si>
    <t>subnet-0150c52e74c6b785f</t>
  </si>
  <si>
    <t>172.29.200.0/24</t>
  </si>
  <si>
    <t>subnet-05c33d95c98fa9b00</t>
  </si>
  <si>
    <t>172.29.201.0/24</t>
  </si>
  <si>
    <t>subnet-04862483b9a22bcc8</t>
  </si>
  <si>
    <t>[開発][内部]スタンダード</t>
    <rPh sb="1" eb="3">
      <t>カイハツ</t>
    </rPh>
    <phoneticPr fontId="1"/>
  </si>
  <si>
    <t>594411166462</t>
  </si>
  <si>
    <t>vpc-standard-dev-internal</t>
  </si>
  <si>
    <t>vpc-04c1753c36ae20f9a</t>
  </si>
  <si>
    <t>172.29.177.0/24</t>
  </si>
  <si>
    <t>subnet-0ff5415b931f14b3b</t>
  </si>
  <si>
    <t>172.29.178.0/24</t>
  </si>
  <si>
    <t>subnet-0c4e511a3587bad28</t>
  </si>
  <si>
    <t>172.29.179.0/24</t>
  </si>
  <si>
    <t>subnet-007c0ba473d25f268</t>
  </si>
  <si>
    <t>172.29.180.0/24</t>
  </si>
  <si>
    <t>subnet-064e2644566a3f29d</t>
  </si>
  <si>
    <t>172.29.181.0/24</t>
  </si>
  <si>
    <t>subnet-0950d43b0b7f3c56e</t>
  </si>
  <si>
    <t>172.29.182.0/24</t>
  </si>
  <si>
    <t>subnet-04f31709c733ba4c5</t>
  </si>
  <si>
    <t>[開発][外部]スタンダード</t>
    <rPh sb="1" eb="3">
      <t>カイハツ</t>
    </rPh>
    <rPh sb="5" eb="7">
      <t>ガイブ</t>
    </rPh>
    <phoneticPr fontId="1"/>
  </si>
  <si>
    <t>ebr-serv-standard-dev-external</t>
  </si>
  <si>
    <t>709072911238</t>
  </si>
  <si>
    <t>vpc-standard-dev-external</t>
  </si>
  <si>
    <t>vpc-0baabb915487043c2</t>
  </si>
  <si>
    <t>172.29.209.0/24</t>
  </si>
  <si>
    <t>subnet-0a09e90a992a75b51</t>
  </si>
  <si>
    <t>172.29.210.0/24</t>
  </si>
  <si>
    <t>subnet-0ef5fe376cf959b10</t>
  </si>
  <si>
    <t>172.29.211.0/24</t>
  </si>
  <si>
    <t>subnet-0c57a9f068fe223e6</t>
  </si>
  <si>
    <t>172.29.212.0/24</t>
  </si>
  <si>
    <t>subnet-0ff8bbecbcb9f2d8c</t>
  </si>
  <si>
    <t>172.29.213.0/24</t>
  </si>
  <si>
    <t>subnet-03ae7b3c9db72a4c8</t>
  </si>
  <si>
    <t>172.29.214.0/24</t>
  </si>
  <si>
    <t>subnet-00108869e58c4d13d</t>
  </si>
  <si>
    <t>172.29.215.0/24</t>
  </si>
  <si>
    <t>subnet-0aa46fda60a3f17d2</t>
  </si>
  <si>
    <t>[本番][内部]S4HANA</t>
    <rPh sb="1" eb="3">
      <t>ホンバ</t>
    </rPh>
    <rPh sb="5" eb="7">
      <t>ナイブ</t>
    </rPh>
    <phoneticPr fontId="1"/>
  </si>
  <si>
    <t>ebr-serv-advanced-s4hana-prd-internal</t>
  </si>
  <si>
    <t>868824067306</t>
  </si>
  <si>
    <t>[本番][内部]S/4 HANA</t>
    <rPh sb="1" eb="3">
      <t>ホンバ</t>
    </rPh>
    <rPh sb="5" eb="7">
      <t>ナイブ</t>
    </rPh>
    <phoneticPr fontId="1"/>
  </si>
  <si>
    <t>vpc-advanced-s4hana-prd-internal</t>
  </si>
  <si>
    <t>vpc-0dfbe3566b3f8cd5f</t>
  </si>
  <si>
    <t>172.29.144.0/25</t>
  </si>
  <si>
    <t>subnet-03a3870d26fb7f78b</t>
  </si>
  <si>
    <t>172.29.144.128/25</t>
  </si>
  <si>
    <t>subnet-0816f990d1a2f2291</t>
  </si>
  <si>
    <t>172.29.145.0/27</t>
  </si>
  <si>
    <t>subnet-0b618d3f2d2c203a2</t>
  </si>
  <si>
    <t>172.29.145.32/27</t>
  </si>
  <si>
    <t>subnet-0cd052314141989cf</t>
  </si>
  <si>
    <t>172.29.145.64/27</t>
  </si>
  <si>
    <t>subnet-0dfe0e4fb1fea293f</t>
  </si>
  <si>
    <t>[開発][内部]S4HANA</t>
    <rPh sb="1" eb="3">
      <t>カイハツ</t>
    </rPh>
    <rPh sb="5" eb="7">
      <t>ナイブ</t>
    </rPh>
    <phoneticPr fontId="1"/>
  </si>
  <si>
    <t>ebr-serv-advanced-s4hana-dev-internal</t>
  </si>
  <si>
    <t>273817956141</t>
  </si>
  <si>
    <t>[開発][内部]S/4 HANA</t>
    <rPh sb="1" eb="3">
      <t>カイハツ</t>
    </rPh>
    <rPh sb="5" eb="7">
      <t>ナイブ</t>
    </rPh>
    <phoneticPr fontId="1"/>
  </si>
  <si>
    <t>vpc-advanced-s4hana-dev-internal</t>
  </si>
  <si>
    <t>vpc-0e5f41e4083f3b9c3</t>
  </si>
  <si>
    <t>172.29.146.0/25</t>
  </si>
  <si>
    <t>subnet-0c8c14d09da46d1fe</t>
  </si>
  <si>
    <t>172.29.146.128/25</t>
  </si>
  <si>
    <t>subnet-037cf09947dc6b68d</t>
  </si>
  <si>
    <t>172.29.147.0/27</t>
  </si>
  <si>
    <t>subnet-0f9ca122481f947c4</t>
  </si>
  <si>
    <t>172.29.147.32/27</t>
  </si>
  <si>
    <t>subnet-0660d14070c719b3c</t>
  </si>
  <si>
    <t>172.29.147.64/27</t>
  </si>
  <si>
    <t>subnet-0f2d27e0b0a72f31e</t>
  </si>
  <si>
    <t>[本番][外部]S4HANA</t>
    <rPh sb="1" eb="3">
      <t>ホンバ</t>
    </rPh>
    <rPh sb="5" eb="7">
      <t>ガイブ</t>
    </rPh>
    <phoneticPr fontId="1"/>
  </si>
  <si>
    <t>ebr-serv-advanced-s4hana-prd-external</t>
  </si>
  <si>
    <t>778573150753</t>
  </si>
  <si>
    <t>[本番][外部]S/4 HANA</t>
    <rPh sb="1" eb="3">
      <t>ホンバ</t>
    </rPh>
    <rPh sb="5" eb="7">
      <t>ガイブ</t>
    </rPh>
    <phoneticPr fontId="1"/>
  </si>
  <si>
    <t>vpc-advanced-s4hana-prd-external</t>
  </si>
  <si>
    <t>vpc-0b346b11cf775daee</t>
  </si>
  <si>
    <t>172.29.148.0/27</t>
  </si>
  <si>
    <t>subnet-063137dc7c1b03480</t>
  </si>
  <si>
    <t>172.29.148.32/27</t>
  </si>
  <si>
    <t>subnet-065fa4c93a5fa7c78</t>
  </si>
  <si>
    <t>172.29.149.0/25</t>
  </si>
  <si>
    <t>subnet-07990b1d063c9adbc</t>
  </si>
  <si>
    <t>172.29.149.128/25</t>
  </si>
  <si>
    <t>subnet-08e497fd8da93e865</t>
  </si>
  <si>
    <t>172.29.148.64/27</t>
  </si>
  <si>
    <t>subnet-0a5fc9e78f9ee634f</t>
  </si>
  <si>
    <t>172.29.148.96/27</t>
  </si>
  <si>
    <t>subnet-07a1e8223c9854f3d</t>
  </si>
  <si>
    <t>172.29.148.128/27</t>
  </si>
  <si>
    <t>subnet-0de37659b4e785fff</t>
  </si>
  <si>
    <t>[開発][外部]S4HANA</t>
    <rPh sb="1" eb="3">
      <t>カイハツ</t>
    </rPh>
    <rPh sb="5" eb="7">
      <t>ガイブ</t>
    </rPh>
    <phoneticPr fontId="1"/>
  </si>
  <si>
    <t>ebr-serv-advanced-s4hana-dev-external</t>
  </si>
  <si>
    <t>985292698757</t>
  </si>
  <si>
    <t>[開発][外部]S/4 HANA</t>
    <rPh sb="1" eb="3">
      <t>カイハツ</t>
    </rPh>
    <rPh sb="5" eb="7">
      <t>ガイブ</t>
    </rPh>
    <phoneticPr fontId="1"/>
  </si>
  <si>
    <t>vpc-advanced-s4hana-dev-external</t>
  </si>
  <si>
    <t>vpc-06b2dec665a489abb</t>
  </si>
  <si>
    <t>172.29.150.0/27</t>
    <phoneticPr fontId="1"/>
  </si>
  <si>
    <t>subnet-0d22faf4e12908ce1</t>
  </si>
  <si>
    <t>172.29.150.32/27</t>
  </si>
  <si>
    <t>subnet-0b4077a5073722531</t>
  </si>
  <si>
    <t>172.29.151.0/25</t>
  </si>
  <si>
    <t>subnet-05ae1e6d1d80c4529</t>
  </si>
  <si>
    <t>172.29.151.128/25</t>
  </si>
  <si>
    <t>subnet-0caa053460c7f7e87</t>
  </si>
  <si>
    <t>172.29.150.64/27</t>
  </si>
  <si>
    <t>subnet-0d5cb15fc072ba26a</t>
  </si>
  <si>
    <t>172.29.150.96/27</t>
  </si>
  <si>
    <t>subnet-07122d814f402ec01</t>
  </si>
  <si>
    <t>172.29.150.128/27</t>
  </si>
  <si>
    <t>subnet-0e8e153c26d0fe4d4</t>
  </si>
  <si>
    <t>[本番][内部]リシテア</t>
    <rPh sb="1" eb="3">
      <t>ホンバ</t>
    </rPh>
    <rPh sb="5" eb="7">
      <t>ナイブ</t>
    </rPh>
    <phoneticPr fontId="1"/>
  </si>
  <si>
    <t>654217412806</t>
  </si>
  <si>
    <t>vpc-advanced-lysithea-prd-internal</t>
  </si>
  <si>
    <t>vpc-041be27ceeb749f09</t>
  </si>
  <si>
    <t>172.29.140.0/27</t>
  </si>
  <si>
    <t>subnet-0c0ee7c8c74e1d9de</t>
  </si>
  <si>
    <t>172.29.140.32/27</t>
  </si>
  <si>
    <t>subnet-02ad331981a4a02c4</t>
  </si>
  <si>
    <t>172.29.140.64/27</t>
  </si>
  <si>
    <t>subnet-09d425148cbe38308</t>
  </si>
  <si>
    <t>172.29.140.96/27</t>
  </si>
  <si>
    <t>subnet-02a1fa15149b5bf94</t>
  </si>
  <si>
    <t>172.29.140.128/27</t>
  </si>
  <si>
    <t>subnet-0bc289cc00b9818ef</t>
  </si>
  <si>
    <t>172.29.140.160/27</t>
  </si>
  <si>
    <t>subnet-0654aefeb83b32e81</t>
  </si>
  <si>
    <t>[開発][内部]リシテア</t>
    <rPh sb="1" eb="3">
      <t>カイハツ</t>
    </rPh>
    <rPh sb="5" eb="7">
      <t>ナイブ</t>
    </rPh>
    <phoneticPr fontId="1"/>
  </si>
  <si>
    <t>054000975983</t>
  </si>
  <si>
    <t>vpc-advanced-lysithea-dev-internal</t>
  </si>
  <si>
    <t>vpc-08f611ff56d39e7d7</t>
  </si>
  <si>
    <t>172.29.141.0/27</t>
    <phoneticPr fontId="1"/>
  </si>
  <si>
    <t>subnet-0cdf50e40f19753d2</t>
    <phoneticPr fontId="1"/>
  </si>
  <si>
    <t>172.29.141.32/27</t>
    <phoneticPr fontId="1"/>
  </si>
  <si>
    <t>subnet-0355e07c99420c467</t>
    <phoneticPr fontId="1"/>
  </si>
  <si>
    <t>172.29.141.64/27</t>
    <phoneticPr fontId="1"/>
  </si>
  <si>
    <t>subnet-08d3245eb760e697c</t>
    <phoneticPr fontId="1"/>
  </si>
  <si>
    <t>172.29.141.96/27</t>
    <phoneticPr fontId="1"/>
  </si>
  <si>
    <t>subnet-0b6465eb1ca024171</t>
  </si>
  <si>
    <t>172.29.141.128/27</t>
  </si>
  <si>
    <t>subnet-005a52100ad2b1d81</t>
  </si>
  <si>
    <t>172.29.141.160/27</t>
  </si>
  <si>
    <t>subnet-0d9277f1f4b05e83f</t>
  </si>
  <si>
    <t>「ユーザ共有シート(Linux)」のF3セルにて式の破損を修正。</t>
    <rPh sb="24" eb="25">
      <t>シキ</t>
    </rPh>
    <rPh sb="26" eb="28">
      <t>ハソン</t>
    </rPh>
    <rPh sb="29" eb="31">
      <t>シュウセイ</t>
    </rPh>
    <phoneticPr fontId="1"/>
  </si>
  <si>
    <t>K&amp;K小野</t>
    <phoneticPr fontId="1"/>
  </si>
  <si>
    <t>「ヒアリングシート(Windows)」、「ヒアリングシート(Linux)」にて、IFS関数をIF関数に修正。
「ユーザ共有シート(Windows)」、「ユーザ共有シート(Linux)」にて、設定値の条件式を削除して修正。</t>
    <rPh sb="43" eb="45">
      <t>カンスウ</t>
    </rPh>
    <rPh sb="48" eb="50">
      <t>カンスウ</t>
    </rPh>
    <rPh sb="51" eb="53">
      <t>シュウセイ</t>
    </rPh>
    <rPh sb="59" eb="61">
      <t>キョウユウ</t>
    </rPh>
    <rPh sb="79" eb="81">
      <t>キョウユウ</t>
    </rPh>
    <rPh sb="95" eb="98">
      <t>セッテイチ</t>
    </rPh>
    <rPh sb="99" eb="102">
      <t>ジョウケンシキ</t>
    </rPh>
    <rPh sb="103" eb="105">
      <t>サクジョ</t>
    </rPh>
    <rPh sb="107" eb="109">
      <t>シュウセイ</t>
    </rPh>
    <phoneticPr fontId="1"/>
  </si>
  <si>
    <t>送信先</t>
    <phoneticPr fontId="1"/>
  </si>
  <si>
    <t>ami-0c40556818e60c409</t>
  </si>
  <si>
    <t>RHEL-8.2.0_HVM-20210907-x86_64-0-Hourly2-GP2</t>
  </si>
  <si>
    <t>ami-05bd7307eceee3fc4</t>
  </si>
  <si>
    <t>RHEL-8.4.0_HVM-20210825-x86_64-0-Hourly2-GP2</t>
  </si>
  <si>
    <t>ami-09ed1fd8c4c00daca</t>
  </si>
  <si>
    <t>タグ#6</t>
    <phoneticPr fontId="1"/>
  </si>
  <si>
    <t>タグ#7</t>
    <phoneticPr fontId="1"/>
  </si>
  <si>
    <t>タグ#8</t>
    <phoneticPr fontId="1"/>
  </si>
  <si>
    <t>タグ#9</t>
    <phoneticPr fontId="1"/>
  </si>
  <si>
    <t>プライベートIPアドレス(プライマリ)</t>
    <phoneticPr fontId="1"/>
  </si>
  <si>
    <t>タグ#5</t>
    <phoneticPr fontId="1"/>
  </si>
  <si>
    <t>Network Interface</t>
    <phoneticPr fontId="1"/>
  </si>
  <si>
    <t>プライベートIPアドレス(プライマリ)</t>
    <phoneticPr fontId="3"/>
  </si>
  <si>
    <t>「ヒアリングシート(Linux)」にてIAMRole名自動作成修正。
「パラメータシート(Windows/Linux)」にて「オリジナルAMI 名称」自動反映修正。
「データ管理シート」にてAMI情報追加修正
「ヒアリングシート(Windows/Linux)」にて、セル結合を廃止しセル幅を修正。
「ヒアリングシート(Windows/Linux)」にて、プライベートIPアドレス(セカンダリ)の設定項目を追加。</t>
    <rPh sb="197" eb="201">
      <t>セッテイコウモク</t>
    </rPh>
    <rPh sb="202" eb="204">
      <t>ツイカ</t>
    </rPh>
    <phoneticPr fontId="1"/>
  </si>
  <si>
    <t>プライベートIPアドレス(セカンダリ)</t>
    <phoneticPr fontId="1"/>
  </si>
  <si>
    <t>プライベートIPアドレス(セカンダリ)</t>
    <phoneticPr fontId="3"/>
  </si>
  <si>
    <t>「ヒアリングシート(Windows/Linux)」にて、プライベートIPアドレス(セカンダリ)の設定項目を1つに削減
「ユーザ共有シート(Windows/Linux)」にて、プライベートIPアドレス(セカンダリ)の設定項目を1つに削減
「パラメータシート(Windows/Linux)」にて、プライベートIPアドレス(セカンダリ)の設定項目を1つに削減</t>
    <rPh sb="56" eb="58">
      <t>サクゲン</t>
    </rPh>
    <rPh sb="63" eb="65">
      <t>キョウユウ</t>
    </rPh>
    <phoneticPr fontId="1"/>
  </si>
  <si>
    <t>「データ管理シート」にて、インスタンスタイプM6i情報を追加して更新。</t>
    <phoneticPr fontId="1"/>
  </si>
  <si>
    <t>m6i.large</t>
  </si>
  <si>
    <t>m6i.xlarge</t>
  </si>
  <si>
    <t>m6i.2xlarge</t>
  </si>
  <si>
    <t>m6i.4xlarge</t>
  </si>
  <si>
    <t>m6i.8xlarge</t>
  </si>
  <si>
    <t>m6i.12xlarge</t>
  </si>
  <si>
    <t>m6i.16xlarge</t>
  </si>
  <si>
    <t>m6i.24xlarge</t>
  </si>
  <si>
    <t>m6i.32xlarge</t>
  </si>
  <si>
    <t>CPU</t>
  </si>
  <si>
    <t>メモリー</t>
  </si>
  <si>
    <t>デバイス</t>
    <phoneticPr fontId="1"/>
  </si>
  <si>
    <t>暗号化(KMS キーエイリアス)</t>
    <rPh sb="0" eb="3">
      <t>アンゴウカ</t>
    </rPh>
    <phoneticPr fontId="1"/>
  </si>
  <si>
    <t>詳細</t>
    <rPh sb="0" eb="2">
      <t>ショウサイ</t>
    </rPh>
    <phoneticPr fontId="1"/>
  </si>
  <si>
    <t>ネットワーキング</t>
    <phoneticPr fontId="1"/>
  </si>
  <si>
    <t>ストレージ</t>
    <phoneticPr fontId="1"/>
  </si>
  <si>
    <t>ディスク#1</t>
    <phoneticPr fontId="1"/>
  </si>
  <si>
    <t>ボリュームID</t>
    <phoneticPr fontId="1"/>
  </si>
  <si>
    <t>タグ#1</t>
  </si>
  <si>
    <t>キー</t>
  </si>
  <si>
    <t>タグ#2</t>
    <phoneticPr fontId="1"/>
  </si>
  <si>
    <t>ディスク#2</t>
    <phoneticPr fontId="1"/>
  </si>
  <si>
    <t>ディスク#3</t>
    <phoneticPr fontId="1"/>
  </si>
  <si>
    <t>ディスク#4</t>
    <phoneticPr fontId="1"/>
  </si>
  <si>
    <t>ディスク#5</t>
    <phoneticPr fontId="1"/>
  </si>
  <si>
    <t>ディスク#6</t>
    <phoneticPr fontId="1"/>
  </si>
  <si>
    <t>ディスク#7</t>
    <phoneticPr fontId="1"/>
  </si>
  <si>
    <t>ディスク#8</t>
    <phoneticPr fontId="1"/>
  </si>
  <si>
    <t>ディスク#9</t>
    <phoneticPr fontId="1"/>
  </si>
  <si>
    <t>ディスク#10</t>
    <phoneticPr fontId="1"/>
  </si>
  <si>
    <t>デバイス</t>
    <phoneticPr fontId="1"/>
  </si>
  <si>
    <t>ドライブ</t>
    <phoneticPr fontId="1"/>
  </si>
  <si>
    <t>終了保護の有効化</t>
    <rPh sb="0" eb="4">
      <t>シュウリョウホゴ</t>
    </rPh>
    <rPh sb="5" eb="8">
      <t>ユウコウカ</t>
    </rPh>
    <phoneticPr fontId="1"/>
  </si>
  <si>
    <t>共有 - 共有ハードウェアインスタンスの実行</t>
  </si>
  <si>
    <t>テナンシー</t>
    <phoneticPr fontId="1"/>
  </si>
  <si>
    <t>暗号化</t>
    <rPh sb="0" eb="3">
      <t>アンゴウカ</t>
    </rPh>
    <phoneticPr fontId="1"/>
  </si>
  <si>
    <t>有効</t>
    <phoneticPr fontId="1"/>
  </si>
  <si>
    <t>「ヒアリングシート(Windows/Linux)」にて、AWS運用チーム記載項目を管理コンソール「インスタンスを起動」の項目に合わせて修正
上記ヒアリングシート修正に伴い、「ユーザ共有シート(Windows/Linux)」、「パラメータシート(Windows/Linux)」を修正</t>
    <rPh sb="31" eb="33">
      <t>ウンヨウ</t>
    </rPh>
    <rPh sb="36" eb="40">
      <t>キサイコウモク</t>
    </rPh>
    <rPh sb="41" eb="43">
      <t>カンリ</t>
    </rPh>
    <rPh sb="56" eb="58">
      <t>キドウ</t>
    </rPh>
    <rPh sb="60" eb="62">
      <t>コウモク</t>
    </rPh>
    <rPh sb="63" eb="64">
      <t>ア</t>
    </rPh>
    <rPh sb="67" eb="69">
      <t>シュウセイ</t>
    </rPh>
    <rPh sb="70" eb="72">
      <t>ジョウキ</t>
    </rPh>
    <rPh sb="80" eb="82">
      <t>シュウセイ</t>
    </rPh>
    <rPh sb="83" eb="84">
      <t>トモナ</t>
    </rPh>
    <rPh sb="90" eb="92">
      <t>キョウユウ</t>
    </rPh>
    <rPh sb="138" eb="140">
      <t>シュウセイ</t>
    </rPh>
    <phoneticPr fontId="1"/>
  </si>
  <si>
    <t>インスタンスを起動</t>
    <rPh sb="7" eb="9">
      <t>キドウ</t>
    </rPh>
    <phoneticPr fontId="1"/>
  </si>
  <si>
    <t>配置先情報</t>
    <rPh sb="0" eb="5">
      <t>ハイチサキジョウホウ</t>
    </rPh>
    <phoneticPr fontId="1"/>
  </si>
  <si>
    <t>セキュリティグループの割り当て</t>
    <phoneticPr fontId="1"/>
  </si>
  <si>
    <t>ステップ 1: Amazon マシンイメージ (AMI)</t>
    <phoneticPr fontId="1"/>
  </si>
  <si>
    <t>ステップ 2: インスタンスタイプの選択</t>
    <phoneticPr fontId="3"/>
  </si>
  <si>
    <t>ステップ 4: ストレージの追加</t>
    <rPh sb="14" eb="16">
      <t>ツイカ</t>
    </rPh>
    <phoneticPr fontId="1"/>
  </si>
  <si>
    <t>ステップ 5: タグの追加</t>
    <rPh sb="11" eb="13">
      <t>ツイカ</t>
    </rPh>
    <phoneticPr fontId="1"/>
  </si>
  <si>
    <t xml:space="preserve">ステップ 6: セキュリティグループの設定 </t>
    <rPh sb="19" eb="21">
      <t>セッテイ</t>
    </rPh>
    <phoneticPr fontId="1"/>
  </si>
  <si>
    <t>ステップ 7: インスタンス作成の確認</t>
    <phoneticPr fontId="1"/>
  </si>
  <si>
    <t>セキュリティグループ</t>
    <phoneticPr fontId="1"/>
  </si>
  <si>
    <t xml:space="preserve">ステップ 3: インスタンスの詳細の設定 </t>
    <rPh sb="15" eb="17">
      <t>ショウサイ</t>
    </rPh>
    <rPh sb="18" eb="20">
      <t>セッテイ</t>
    </rPh>
    <phoneticPr fontId="1"/>
  </si>
  <si>
    <t>c6i.large</t>
    <phoneticPr fontId="1"/>
  </si>
  <si>
    <t>c6i.xlarge</t>
    <phoneticPr fontId="1"/>
  </si>
  <si>
    <t>c6i.2xlarge</t>
    <phoneticPr fontId="1"/>
  </si>
  <si>
    <t>c6i.4xlarge</t>
    <phoneticPr fontId="1"/>
  </si>
  <si>
    <t>c6i.8xlarge</t>
    <phoneticPr fontId="1"/>
  </si>
  <si>
    <t>c6i.12xlarge</t>
    <phoneticPr fontId="1"/>
  </si>
  <si>
    <t>c6i.16xlarge</t>
    <phoneticPr fontId="1"/>
  </si>
  <si>
    <t>c6i.24xlarge</t>
    <phoneticPr fontId="1"/>
  </si>
  <si>
    <t>c6i.32xlarge</t>
    <phoneticPr fontId="1"/>
  </si>
  <si>
    <t>r6i.large</t>
    <phoneticPr fontId="1"/>
  </si>
  <si>
    <t>r6i.xlarge</t>
    <phoneticPr fontId="1"/>
  </si>
  <si>
    <t>r6i.2xlarge</t>
    <phoneticPr fontId="1"/>
  </si>
  <si>
    <t>r6i.4xlarge</t>
    <phoneticPr fontId="1"/>
  </si>
  <si>
    <t>r6i.8xlarge</t>
    <phoneticPr fontId="1"/>
  </si>
  <si>
    <t>r6i.12xlarge</t>
    <phoneticPr fontId="1"/>
  </si>
  <si>
    <t>r6i.16xlarge</t>
    <phoneticPr fontId="1"/>
  </si>
  <si>
    <t>r6i.24xlarge</t>
    <phoneticPr fontId="1"/>
  </si>
  <si>
    <t>r6i.32xlarge</t>
    <phoneticPr fontId="1"/>
  </si>
  <si>
    <t>必要スペック</t>
    <rPh sb="0" eb="2">
      <t>ヒツヨウ</t>
    </rPh>
    <phoneticPr fontId="1"/>
  </si>
  <si>
    <t>キーペア</t>
    <phoneticPr fontId="1"/>
  </si>
  <si>
    <t>キーペアのタイプ</t>
    <phoneticPr fontId="1"/>
  </si>
  <si>
    <t>インスタンス</t>
    <phoneticPr fontId="1"/>
  </si>
  <si>
    <t>ボリューム</t>
    <phoneticPr fontId="1"/>
  </si>
  <si>
    <t>ネットワークインターフェース</t>
    <phoneticPr fontId="1"/>
  </si>
  <si>
    <t>「データ管理シート」にて、インスタンスタイプc6i、r6i情報を追加して更新。</t>
    <phoneticPr fontId="1"/>
  </si>
  <si>
    <t>ルール</t>
    <phoneticPr fontId="1"/>
  </si>
  <si>
    <t xml:space="preserve">ネットワークインターフェイス </t>
    <phoneticPr fontId="1"/>
  </si>
  <si>
    <t>プライマリ IPアドレス</t>
    <phoneticPr fontId="3"/>
  </si>
  <si>
    <t>セカンダリ IPアドレス</t>
    <phoneticPr fontId="3"/>
  </si>
  <si>
    <t>説明</t>
    <rPh sb="0" eb="2">
      <t>セツメイ</t>
    </rPh>
    <phoneticPr fontId="1"/>
  </si>
  <si>
    <t>VPC</t>
    <phoneticPr fontId="1"/>
  </si>
  <si>
    <t>タグ</t>
    <phoneticPr fontId="1"/>
  </si>
  <si>
    <t>ルール#7</t>
    <phoneticPr fontId="1"/>
  </si>
  <si>
    <t>ルール#8</t>
    <phoneticPr fontId="1"/>
  </si>
  <si>
    <t>ルール#9</t>
    <phoneticPr fontId="1"/>
  </si>
  <si>
    <t>「ヒアリングシート(Windows/Linux)」にて、Nameタグの命名規則をHostNameタグと同じ命名規則に修正。</t>
    <rPh sb="35" eb="39">
      <t>メイメイキソク</t>
    </rPh>
    <rPh sb="51" eb="52">
      <t>オナ</t>
    </rPh>
    <rPh sb="53" eb="57">
      <t>メイメイキソク</t>
    </rPh>
    <rPh sb="58" eb="60">
      <t>シュウセイ</t>
    </rPh>
    <phoneticPr fontId="1"/>
  </si>
  <si>
    <t>RHEL-8.3.0_HVM-20201031-x86_64-0-Hourly2-GP2</t>
    <phoneticPr fontId="1"/>
  </si>
  <si>
    <t>ami-0dc185deadd3ac449</t>
    <phoneticPr fontId="1"/>
  </si>
  <si>
    <t>ami-09cd0809c11eccbd7</t>
  </si>
  <si>
    <t>「データ管理シート」にて「OS Windows」、「OS Linux」情報を更新。</t>
    <rPh sb="4" eb="6">
      <t>カンリ</t>
    </rPh>
    <rPh sb="35" eb="37">
      <t>ジョウホウ</t>
    </rPh>
    <rPh sb="38" eb="40">
      <t>コウシン</t>
    </rPh>
    <phoneticPr fontId="1"/>
  </si>
  <si>
    <t>SUSE Linux Enterprise Server for SAP Applications 15 SP1</t>
  </si>
  <si>
    <t>[リージョン]</t>
    <phoneticPr fontId="1"/>
  </si>
  <si>
    <t>名前</t>
    <rPh sb="0" eb="2">
      <t>ナマエ</t>
    </rPh>
    <phoneticPr fontId="1"/>
  </si>
  <si>
    <t>略称</t>
    <rPh sb="0" eb="2">
      <t>リャクショウ</t>
    </rPh>
    <phoneticPr fontId="1"/>
  </si>
  <si>
    <t>米国東部 (バージニア北部)</t>
    <phoneticPr fontId="1"/>
  </si>
  <si>
    <t>アジアパシフィック (東京)</t>
    <phoneticPr fontId="1"/>
  </si>
  <si>
    <t>tyo：東京</t>
  </si>
  <si>
    <t>nvi：バージニア北部</t>
  </si>
  <si>
    <t>「データ管理シート」にてリージョン情報を追加。</t>
    <rPh sb="4" eb="6">
      <t>カンリ</t>
    </rPh>
    <rPh sb="17" eb="19">
      <t>ジョウホウ</t>
    </rPh>
    <rPh sb="20" eb="22">
      <t>ツイカ</t>
    </rPh>
    <phoneticPr fontId="1"/>
  </si>
  <si>
    <t>K&amp;K小野</t>
  </si>
  <si>
    <t>「データ管理シート」にて、以下アカウント情報を追加。
・ebr-serv-almighty-prd ([本番][外部]オールマイティ)
・ebr-serv-almighty-dev ([開発][外部]オールマイティ)</t>
    <rPh sb="4" eb="6">
      <t>カンリ</t>
    </rPh>
    <rPh sb="13" eb="15">
      <t>イカ</t>
    </rPh>
    <rPh sb="20" eb="22">
      <t>ジョウホウ</t>
    </rPh>
    <rPh sb="23" eb="25">
      <t>ツイカ</t>
    </rPh>
    <phoneticPr fontId="1"/>
  </si>
  <si>
    <t>[本番][外部]オールマイティ</t>
  </si>
  <si>
    <t>ebr-serv-almighty-prd</t>
  </si>
  <si>
    <t>[開発][外部]オールマイティ</t>
  </si>
  <si>
    <t>ebr-serv-almighty-dev</t>
  </si>
  <si>
    <t>[本番][外部]オールマイティ</t>
    <rPh sb="1" eb="3">
      <t>ホンバ</t>
    </rPh>
    <rPh sb="5" eb="7">
      <t>ガイブ</t>
    </rPh>
    <phoneticPr fontId="1"/>
  </si>
  <si>
    <t>カウント用途</t>
  </si>
  <si>
    <t>777050971518</t>
  </si>
  <si>
    <t>vpc-almighty-prd</t>
  </si>
  <si>
    <t>vpc-018ba1ceb166d7a0b</t>
  </si>
  <si>
    <t>subnet-public-1a</t>
  </si>
  <si>
    <t>172.29.224.0/26</t>
  </si>
  <si>
    <t>subnet-04d436d3383772bd9</t>
  </si>
  <si>
    <t>subnet-public-1c</t>
  </si>
  <si>
    <t>172.29.224.64/26</t>
  </si>
  <si>
    <t>subnet-0f3edc451c128eb1f</t>
  </si>
  <si>
    <t>subnet-protect-1a</t>
  </si>
  <si>
    <t>172.29.225.0/25</t>
  </si>
  <si>
    <t>subnet-0edec25d76d20da3b</t>
  </si>
  <si>
    <t>subnet-protect-1c</t>
  </si>
  <si>
    <t>172.29.225.128/25</t>
  </si>
  <si>
    <t>subnet-004ed08fde55bf664</t>
  </si>
  <si>
    <t>subnet-private-1a</t>
  </si>
  <si>
    <t>172.29.224.128/27</t>
  </si>
  <si>
    <t>subnet-0a73880cd362cdb68</t>
  </si>
  <si>
    <t>subnet-private-1c</t>
  </si>
  <si>
    <t>172.29.224.160/27</t>
  </si>
  <si>
    <t>subnet-03d5cb938f1da1026</t>
  </si>
  <si>
    <t>[開発][外部]オールマイティ</t>
    <rPh sb="1" eb="3">
      <t>カイハツ</t>
    </rPh>
    <rPh sb="5" eb="7">
      <t>ガイブ</t>
    </rPh>
    <phoneticPr fontId="1"/>
  </si>
  <si>
    <t>vpc-almighty-dev</t>
  </si>
  <si>
    <t>vpc-087ff1c819062daad</t>
  </si>
  <si>
    <t>172.29.226.0/26</t>
  </si>
  <si>
    <t>subnet-01c22a148766ba74d</t>
  </si>
  <si>
    <t>172.29.226.64/26</t>
  </si>
  <si>
    <t>subnet-0cb60774558e74778</t>
  </si>
  <si>
    <t>172.29.227.0/25</t>
  </si>
  <si>
    <t>subnet-029d9bafa28bf3980</t>
  </si>
  <si>
    <t>172.29.227.128/25</t>
  </si>
  <si>
    <t>subnet-00aef278f5f8e32ab</t>
  </si>
  <si>
    <t>172.29.226.128/27</t>
  </si>
  <si>
    <t>subnet-0cdb313b69ee4d96d</t>
  </si>
  <si>
    <t>172.29.226.160/27</t>
  </si>
  <si>
    <t>subnet-0547cc62d40215fb4</t>
  </si>
  <si>
    <t>「データ管理シート」にて[OS Windows]情報を更新</t>
    <rPh sb="4" eb="6">
      <t>カンリ</t>
    </rPh>
    <rPh sb="24" eb="26">
      <t>ジョウホウ</t>
    </rPh>
    <rPh sb="27" eb="29">
      <t>コウシン</t>
    </rPh>
    <phoneticPr fontId="1"/>
  </si>
  <si>
    <t>CloudWatch アラーム設定</t>
    <rPh sb="15" eb="17">
      <t>セッテイ</t>
    </rPh>
    <phoneticPr fontId="1"/>
  </si>
  <si>
    <t>メトリクス</t>
    <phoneticPr fontId="1"/>
  </si>
  <si>
    <t>インスタンスID</t>
    <phoneticPr fontId="1"/>
  </si>
  <si>
    <t>統計</t>
    <rPh sb="0" eb="2">
      <t>トウケイ</t>
    </rPh>
    <phoneticPr fontId="1"/>
  </si>
  <si>
    <t>期間</t>
    <rPh sb="0" eb="2">
      <t>キカン</t>
    </rPh>
    <phoneticPr fontId="1"/>
  </si>
  <si>
    <t>しきい値</t>
    <rPh sb="3" eb="4">
      <t>チ</t>
    </rPh>
    <phoneticPr fontId="1"/>
  </si>
  <si>
    <t>アラーム条件</t>
    <rPh sb="4" eb="6">
      <t>ジョウケン</t>
    </rPh>
    <phoneticPr fontId="1"/>
  </si>
  <si>
    <t>しきい値の種類</t>
    <rPh sb="3" eb="4">
      <t>チ</t>
    </rPh>
    <rPh sb="5" eb="7">
      <t>シュルイ</t>
    </rPh>
    <phoneticPr fontId="1"/>
  </si>
  <si>
    <t>アラームを実行するデータポイント</t>
    <phoneticPr fontId="1"/>
  </si>
  <si>
    <t>欠落データの処理</t>
    <phoneticPr fontId="1"/>
  </si>
  <si>
    <t>メトリクスと条件の指定</t>
    <phoneticPr fontId="1"/>
  </si>
  <si>
    <t>アクションの設定</t>
    <phoneticPr fontId="1"/>
  </si>
  <si>
    <t>EC2 アクション</t>
    <phoneticPr fontId="1"/>
  </si>
  <si>
    <t>アラーム状態トリガー</t>
    <phoneticPr fontId="1"/>
  </si>
  <si>
    <t>アクション</t>
    <phoneticPr fontId="1"/>
  </si>
  <si>
    <t>名前と説明</t>
    <rPh sb="0" eb="2">
      <t>ナマエ</t>
    </rPh>
    <rPh sb="3" eb="5">
      <t>セツメイ</t>
    </rPh>
    <phoneticPr fontId="1"/>
  </si>
  <si>
    <t>アラーム名</t>
    <rPh sb="4" eb="5">
      <t>メイ</t>
    </rPh>
    <phoneticPr fontId="1"/>
  </si>
  <si>
    <t>アラームの説明</t>
    <rPh sb="5" eb="7">
      <t>セツメイ</t>
    </rPh>
    <phoneticPr fontId="1"/>
  </si>
  <si>
    <t>1/1</t>
    <phoneticPr fontId="1"/>
  </si>
  <si>
    <t>欠落データを見つかりませんとして処理</t>
    <rPh sb="0" eb="2">
      <t>ケツラク</t>
    </rPh>
    <rPh sb="6" eb="7">
      <t>ミ</t>
    </rPh>
    <rPh sb="16" eb="18">
      <t>ショリ</t>
    </rPh>
    <phoneticPr fontId="1"/>
  </si>
  <si>
    <t>CloudWatch</t>
    <phoneticPr fontId="1"/>
  </si>
  <si>
    <t>しきい値</t>
    <phoneticPr fontId="1"/>
  </si>
  <si>
    <t>アクション</t>
    <phoneticPr fontId="1"/>
  </si>
  <si>
    <t>名前空間</t>
    <phoneticPr fontId="1"/>
  </si>
  <si>
    <t>メトリクス名</t>
    <phoneticPr fontId="1"/>
  </si>
  <si>
    <t>InstanceId</t>
    <phoneticPr fontId="1"/>
  </si>
  <si>
    <t>ImageId</t>
    <phoneticPr fontId="1"/>
  </si>
  <si>
    <t>objectname</t>
    <phoneticPr fontId="1"/>
  </si>
  <si>
    <t>instance</t>
    <phoneticPr fontId="1"/>
  </si>
  <si>
    <t>InstanceType</t>
    <phoneticPr fontId="1"/>
  </si>
  <si>
    <t>DBInstanceIdentifier</t>
    <phoneticPr fontId="1"/>
  </si>
  <si>
    <t>LoadBalancer</t>
    <phoneticPr fontId="1"/>
  </si>
  <si>
    <t>TargetGroup</t>
    <phoneticPr fontId="1"/>
  </si>
  <si>
    <t>インスタンス名</t>
    <phoneticPr fontId="1"/>
  </si>
  <si>
    <t>統計</t>
    <phoneticPr fontId="1"/>
  </si>
  <si>
    <t>期間</t>
    <phoneticPr fontId="1"/>
  </si>
  <si>
    <t>アラームを実行するデータポイント</t>
    <phoneticPr fontId="1"/>
  </si>
  <si>
    <t>欠落データの処理</t>
    <phoneticPr fontId="1"/>
  </si>
  <si>
    <t>サンプル数が少ないパーセンタイル</t>
    <phoneticPr fontId="1"/>
  </si>
  <si>
    <t>ARN</t>
    <phoneticPr fontId="1"/>
  </si>
  <si>
    <t>アクション#1</t>
    <phoneticPr fontId="1"/>
  </si>
  <si>
    <t>ー</t>
    <phoneticPr fontId="1"/>
  </si>
  <si>
    <t>1 分内の1データポイントのStatusCheckFailed_System &gt; 0</t>
    <phoneticPr fontId="1"/>
  </si>
  <si>
    <t>メトリクスアラーム</t>
    <phoneticPr fontId="1"/>
  </si>
  <si>
    <t>有効</t>
    <phoneticPr fontId="1"/>
  </si>
  <si>
    <t>AWS/EC2</t>
    <phoneticPr fontId="1"/>
  </si>
  <si>
    <t>evaluate</t>
    <phoneticPr fontId="1"/>
  </si>
  <si>
    <t>「ヒアリングシート(Windows/Linux)」にて、CloudWatch アラーム設定(AutoRecovery設定)項目を追加。
「ヒアリングシート(Windows/Linux)」にて、ボリュームのSystemタグ設定項目(タグ#3)を追加。
「パラメータシート(Windows/Linux)」にて、CloudWatch アラーム設定、ボリュームのタグ#3の項目を追加。</t>
    <rPh sb="58" eb="60">
      <t>セッテイ</t>
    </rPh>
    <rPh sb="61" eb="63">
      <t>コウモク</t>
    </rPh>
    <rPh sb="64" eb="66">
      <t>ツイカ</t>
    </rPh>
    <rPh sb="110" eb="112">
      <t>セッテイ</t>
    </rPh>
    <rPh sb="182" eb="184">
      <t>コウモク</t>
    </rPh>
    <rPh sb="185" eb="187">
      <t>ツイカ</t>
    </rPh>
    <phoneticPr fontId="1"/>
  </si>
  <si>
    <t>675727365281</t>
  </si>
  <si>
    <t>ap-northeast-1a</t>
    <phoneticPr fontId="1"/>
  </si>
  <si>
    <t>インスタンス情報</t>
    <rPh sb="6" eb="8">
      <t>ジョウホウ</t>
    </rPh>
    <phoneticPr fontId="1"/>
  </si>
  <si>
    <t>インスタンスタイプ</t>
  </si>
  <si>
    <t>サブネット</t>
    <phoneticPr fontId="1"/>
  </si>
  <si>
    <t>「ヒアリングシート(Windows/Linux)」にて、インスタンスタイプごとに利用可能なAZがプルダウンに表示されるよう修正。
「データ管理シート」にてAZ用のテーブルを追加。</t>
    <rPh sb="40" eb="44">
      <t>リヨウカノウ</t>
    </rPh>
    <rPh sb="54" eb="56">
      <t>ヒョウジ</t>
    </rPh>
    <rPh sb="61" eb="63">
      <t>シュウセイ</t>
    </rPh>
    <rPh sb="79" eb="80">
      <t>ヨウ</t>
    </rPh>
    <rPh sb="86" eb="88">
      <t>ツイカ</t>
    </rPh>
    <phoneticPr fontId="1"/>
  </si>
  <si>
    <t>「ユーザ共有シート(Windows/Linux)」のPDF化のため、以下印刷設定を修正。
・印刷範囲に項目、設定値欄の範囲を指定
・余白は全て「0 cm」に設定
・ページ中央は「水平」、「垂直」にチェック
・「シートを1ページに印刷」に設定</t>
    <rPh sb="4" eb="6">
      <t>キョウユウ</t>
    </rPh>
    <rPh sb="46" eb="50">
      <t>インサツハンイ</t>
    </rPh>
    <rPh sb="51" eb="53">
      <t>コウモク</t>
    </rPh>
    <rPh sb="54" eb="57">
      <t>セッテイチ</t>
    </rPh>
    <rPh sb="57" eb="58">
      <t>ラン</t>
    </rPh>
    <rPh sb="59" eb="61">
      <t>ハンイ</t>
    </rPh>
    <rPh sb="62" eb="64">
      <t>シテイ</t>
    </rPh>
    <rPh sb="66" eb="68">
      <t>ヨハク</t>
    </rPh>
    <rPh sb="69" eb="70">
      <t>スベ</t>
    </rPh>
    <rPh sb="78" eb="80">
      <t>セッテイ</t>
    </rPh>
    <rPh sb="85" eb="87">
      <t>チュウオウ</t>
    </rPh>
    <rPh sb="89" eb="91">
      <t>スイヘイ</t>
    </rPh>
    <rPh sb="94" eb="96">
      <t>スイチョク</t>
    </rPh>
    <rPh sb="114" eb="116">
      <t>インサツ</t>
    </rPh>
    <rPh sb="118" eb="120">
      <t>セッテイ</t>
    </rPh>
    <phoneticPr fontId="1"/>
  </si>
  <si>
    <t>「ユーザ共有シート(Windows/Linux)」にて、ヒアリングシートの参照セルの設定値が未入力の場合、「-」が表示されるよう修正。</t>
    <phoneticPr fontId="1"/>
  </si>
  <si>
    <t>amzn2-ami-hvm-2.0.20220316.0-x86_64-gp2</t>
    <phoneticPr fontId="1"/>
  </si>
  <si>
    <t>ami-0521a4a0a1329ff86</t>
    <phoneticPr fontId="1"/>
  </si>
  <si>
    <t>amzn2-ami-hvm-2.0.20220218.3-x86_64-gp2</t>
    <phoneticPr fontId="1"/>
  </si>
  <si>
    <t>ami-0726c1c7e01759156</t>
    <phoneticPr fontId="1"/>
  </si>
  <si>
    <t>amzn2-ami-hvm-2.0.20220310.0-x86_64-gp2</t>
    <phoneticPr fontId="1"/>
  </si>
  <si>
    <t>ami-07f4cf12fc479435b</t>
    <phoneticPr fontId="1"/>
  </si>
  <si>
    <t>amzn2-ami-hvm-2.0.20220121.0-x86_64-gp2</t>
    <phoneticPr fontId="1"/>
  </si>
  <si>
    <t>ami-0e3861265a3a335cc</t>
    <phoneticPr fontId="1"/>
  </si>
  <si>
    <t>amzn2-ami-hvm-2.0.20220207.1-x86_64-gp2</t>
    <phoneticPr fontId="1"/>
  </si>
  <si>
    <t>ami-08d56ac42e2d4a08b</t>
    <phoneticPr fontId="1"/>
  </si>
  <si>
    <t>RHEL-8.5.0_HVM-20211103-x86_64-0-Hourly2-GP2</t>
    <phoneticPr fontId="1"/>
  </si>
  <si>
    <t>ebr-mgmt-network</t>
  </si>
  <si>
    <t>ebr-mgmt-network</t>
    <phoneticPr fontId="1"/>
  </si>
  <si>
    <t>421241201026</t>
    <phoneticPr fontId="1"/>
  </si>
  <si>
    <t>[管理]ネットワーク管理</t>
  </si>
  <si>
    <t>[管理]ネットワーク管理</t>
    <rPh sb="1" eb="3">
      <t>カンリ</t>
    </rPh>
    <phoneticPr fontId="1"/>
  </si>
  <si>
    <t>vpc-mgmt-network</t>
    <phoneticPr fontId="1"/>
  </si>
  <si>
    <t>vpc-0f5e4911294aeb858</t>
    <phoneticPr fontId="1"/>
  </si>
  <si>
    <t>subnet-public-1a</t>
    <phoneticPr fontId="1"/>
  </si>
  <si>
    <t>subnet-public-1c</t>
    <phoneticPr fontId="1"/>
  </si>
  <si>
    <t>subnet-public-1d</t>
    <phoneticPr fontId="1"/>
  </si>
  <si>
    <t>subnet-protect-1a</t>
    <phoneticPr fontId="1"/>
  </si>
  <si>
    <t>subnet-protect-1c</t>
    <phoneticPr fontId="1"/>
  </si>
  <si>
    <t>172.29.128.0/27</t>
    <phoneticPr fontId="1"/>
  </si>
  <si>
    <t>172.29.128.32/27</t>
    <phoneticPr fontId="1"/>
  </si>
  <si>
    <t>172.29.128.64/27</t>
    <phoneticPr fontId="1"/>
  </si>
  <si>
    <t>172.29.128.96/27</t>
    <phoneticPr fontId="1"/>
  </si>
  <si>
    <t>172.29.128.128/27</t>
    <phoneticPr fontId="1"/>
  </si>
  <si>
    <t>subnet-0cf2d856a652ee31e</t>
    <phoneticPr fontId="1"/>
  </si>
  <si>
    <t>subnet-0f00ab42e5c9708d4</t>
    <phoneticPr fontId="1"/>
  </si>
  <si>
    <t>subnet-0e38a71084280c7cb</t>
    <phoneticPr fontId="1"/>
  </si>
  <si>
    <t>subnet-0be511690c7e10554</t>
    <phoneticPr fontId="1"/>
  </si>
  <si>
    <t>subnet-09729a95f5ac1ae7f</t>
    <phoneticPr fontId="1"/>
  </si>
  <si>
    <t>[管理]ネットワーク管理</t>
    <phoneticPr fontId="1"/>
  </si>
  <si>
    <t>ebr-mgmt-network</t>
    <phoneticPr fontId="1"/>
  </si>
  <si>
    <t>「データ管理シート」にて「ネットワーク管理」アカウント情報追加。</t>
    <rPh sb="4" eb="6">
      <t>カンリ</t>
    </rPh>
    <rPh sb="27" eb="29">
      <t>ジョウホウ</t>
    </rPh>
    <rPh sb="29" eb="31">
      <t>ツイカ</t>
    </rPh>
    <phoneticPr fontId="1"/>
  </si>
  <si>
    <t>「ヒアリングシート(Windows)」、「ヒアリングシート(Linux)」にて、Costタグ名を「CostAllocation」に修正</t>
    <rPh sb="46" eb="47">
      <t>メイ</t>
    </rPh>
    <rPh sb="65" eb="67">
      <t>シュウセイ</t>
    </rPh>
    <phoneticPr fontId="1"/>
  </si>
  <si>
    <t>キー</t>
    <phoneticPr fontId="1"/>
  </si>
  <si>
    <t>「ヒアリングシート(Windows/Linux)」、「パラメータシート(Windows/Linux)」にて、「CostAllocation」タグ設定を追加。</t>
    <rPh sb="72" eb="74">
      <t>セッテイ</t>
    </rPh>
    <rPh sb="75" eb="77">
      <t>ツイカ</t>
    </rPh>
    <phoneticPr fontId="1"/>
  </si>
  <si>
    <t>「ヒアリングシート(Windows/Linux)」、にて「Backup」タグ、「Cylance」タグ設定を追加</t>
    <rPh sb="50" eb="52">
      <t>セッテイ</t>
    </rPh>
    <rPh sb="53" eb="55">
      <t>ツイカ</t>
    </rPh>
    <phoneticPr fontId="1"/>
  </si>
  <si>
    <t>amzn2-ami-hvm-2.0.20221210.1-x86_64-gp2</t>
    <phoneticPr fontId="1"/>
  </si>
  <si>
    <t>ami-0b8b7786ce75a2b4f</t>
    <phoneticPr fontId="1"/>
  </si>
  <si>
    <t>amzn2-ami-hvm-2.0.20220426.0-x86_64-gp2</t>
    <phoneticPr fontId="1"/>
  </si>
  <si>
    <t>ami-0f9a314ce79311c88</t>
    <phoneticPr fontId="1"/>
  </si>
  <si>
    <t>amzn2-ami-hvm-2.0.20220805.0-x86_64-gp2</t>
    <phoneticPr fontId="1"/>
  </si>
  <si>
    <t>ami-0b069de314c9ab4c4</t>
    <phoneticPr fontId="1"/>
  </si>
  <si>
    <t>amzn2-ami-hvm-2.0.20220606.1-x86_64-gp2</t>
    <phoneticPr fontId="1"/>
  </si>
  <si>
    <t>ami-06ce6680729711877</t>
    <phoneticPr fontId="1"/>
  </si>
  <si>
    <t>amzn2-ami-hvm-2.0.20220719.0-x86_64-gp2</t>
    <phoneticPr fontId="1"/>
  </si>
  <si>
    <t>ami-059755f6af2e54b66</t>
    <phoneticPr fontId="1"/>
  </si>
  <si>
    <t>amzn2-ami-hvm-2.0.20221004.0-x86_64-gp2</t>
    <phoneticPr fontId="1"/>
  </si>
  <si>
    <t>ami-046a961f907758d0d</t>
    <phoneticPr fontId="1"/>
  </si>
  <si>
    <t>amzn2-ami-hvm-2.0.20221103.3-x86_64-gp2</t>
    <phoneticPr fontId="1"/>
  </si>
  <si>
    <t>ami-0b73aa7c1d1b2e901</t>
    <phoneticPr fontId="1"/>
  </si>
  <si>
    <t>amzn2-ami-hvm-2.0.20220912.1-x86_64-gp2</t>
    <phoneticPr fontId="1"/>
  </si>
  <si>
    <t>ami-01154243795368525</t>
    <phoneticPr fontId="1"/>
  </si>
  <si>
    <t>「データ管理シート」にて[OS Windows]にWindowsServer2022情報を追加</t>
    <rPh sb="4" eb="6">
      <t>カンリ</t>
    </rPh>
    <rPh sb="42" eb="44">
      <t>ジョウホウ</t>
    </rPh>
    <rPh sb="45" eb="47">
      <t>ツイカ</t>
    </rPh>
    <phoneticPr fontId="1"/>
  </si>
  <si>
    <t>Windows_Server-2022-English-Full-Base-2023.01.11</t>
    <phoneticPr fontId="1"/>
  </si>
  <si>
    <t>ami-0d8cbea1676f2a9f2</t>
    <phoneticPr fontId="1"/>
  </si>
  <si>
    <t>Windows_Server-2019-Japanese-Full-Base-2023.01.11</t>
    <phoneticPr fontId="1"/>
  </si>
  <si>
    <t>ami-0f9594c56f4ee4354</t>
    <phoneticPr fontId="1"/>
  </si>
  <si>
    <t>Windows_Server-2019-English-Full-Base-2023.01.11</t>
    <phoneticPr fontId="1"/>
  </si>
  <si>
    <t>ami-07592498ec0d53cf5</t>
    <phoneticPr fontId="1"/>
  </si>
  <si>
    <t>Windows_Server-2016-Japanese-Full-Base-2023.01.11</t>
    <phoneticPr fontId="1"/>
  </si>
  <si>
    <t>ami-0f5933e62fbe567c4</t>
    <phoneticPr fontId="1"/>
  </si>
  <si>
    <t>Windows_Server-2016-English-Full-Base-2023.01.11</t>
    <phoneticPr fontId="1"/>
  </si>
  <si>
    <t>ami-08e9cbe12ec8b01b2</t>
    <phoneticPr fontId="1"/>
  </si>
  <si>
    <t>「ヒアリングシート(Windows)」にて、「CWAgent」タグ、「CWAgentConfig」タグ、「DatadogIntegration」タグ、「DatadogAgent」タグ情報を追加。</t>
    <rPh sb="91" eb="93">
      <t>ジョウホウ</t>
    </rPh>
    <rPh sb="94" eb="96">
      <t>ツイカ</t>
    </rPh>
    <phoneticPr fontId="1"/>
  </si>
  <si>
    <t>Windows_Server-2022-English-Full-Base-2023.01.19</t>
    <phoneticPr fontId="1"/>
  </si>
  <si>
    <t>ami-05f53c2def3a51a08</t>
    <phoneticPr fontId="1"/>
  </si>
  <si>
    <t>Windows_Server-2019-Japanese-Full-Base-2023.01.19</t>
    <phoneticPr fontId="1"/>
  </si>
  <si>
    <t>ami-0edcdc40ffd2c6589</t>
    <phoneticPr fontId="1"/>
  </si>
  <si>
    <t>Windows_Server-2019-English-Full-Base-2023.01.19</t>
    <phoneticPr fontId="1"/>
  </si>
  <si>
    <t>ami-0a110ffc6a6061628</t>
    <phoneticPr fontId="1"/>
  </si>
  <si>
    <t>Windows_Server-2016-Japanese-Full-Base-2023.01.19</t>
    <phoneticPr fontId="1"/>
  </si>
  <si>
    <t>ami-0c3836bc6a599dabd</t>
    <phoneticPr fontId="1"/>
  </si>
  <si>
    <t>Windows_Server-2016-English-Full-Base-2023.01.19</t>
    <phoneticPr fontId="1"/>
  </si>
  <si>
    <t>ami-0981002ef16afef87</t>
    <phoneticPr fontId="1"/>
  </si>
  <si>
    <t>Windows_Server-2022-Japanese-Full-Base-2023.02.15</t>
    <phoneticPr fontId="1"/>
  </si>
  <si>
    <t>ami-0ec1ce3becca929a2</t>
    <phoneticPr fontId="1"/>
  </si>
  <si>
    <t>Windows_Server-2022-English-Full-Base-2023.02.15</t>
    <phoneticPr fontId="1"/>
  </si>
  <si>
    <t>ami-0500753a8b9c3c925</t>
    <phoneticPr fontId="1"/>
  </si>
  <si>
    <t>Windows_Server-2019-Japanese-Full-Base-2023.02.15</t>
    <phoneticPr fontId="1"/>
  </si>
  <si>
    <t>ami-0ff81fdb5bd3e7b52</t>
    <phoneticPr fontId="1"/>
  </si>
  <si>
    <t>Windows_Server-2019-English-Full-Base-2023.02.15</t>
    <phoneticPr fontId="1"/>
  </si>
  <si>
    <t>ami-0ef197f1e55ccb8fb</t>
    <phoneticPr fontId="1"/>
  </si>
  <si>
    <t>Windows_Server-2016-Japanese-Full-Base-2023.02.15</t>
    <phoneticPr fontId="1"/>
  </si>
  <si>
    <t>ami-06c64f22d19225acb</t>
    <phoneticPr fontId="1"/>
  </si>
  <si>
    <t>Windows_Server-2016-English-Full-Base-2023.02.15</t>
    <phoneticPr fontId="1"/>
  </si>
  <si>
    <t>ami-068c765ca8d8587cd</t>
    <phoneticPr fontId="1"/>
  </si>
  <si>
    <t>Windows_Server-2022-Japanese-Full-Base-2023.03.15</t>
    <phoneticPr fontId="1"/>
  </si>
  <si>
    <t>ami-0eef1af2b403b66bc</t>
    <phoneticPr fontId="1"/>
  </si>
  <si>
    <t>Windows_Server-2022-English-Full-Base-2023.03.15</t>
    <phoneticPr fontId="1"/>
  </si>
  <si>
    <t>ami-0b168f9cd578fe5d5</t>
    <phoneticPr fontId="1"/>
  </si>
  <si>
    <t>Windows_Server-2019-Japanese-Full-Base-2023.03.15</t>
    <phoneticPr fontId="1"/>
  </si>
  <si>
    <t>ami-0b5249d4357dd1dba</t>
    <phoneticPr fontId="1"/>
  </si>
  <si>
    <t>Windows_Server-2019-English-Full-Base-2023.03.15</t>
    <phoneticPr fontId="1"/>
  </si>
  <si>
    <t>mi-0ee87a1a729fecb57</t>
    <phoneticPr fontId="1"/>
  </si>
  <si>
    <t>Windows_Server-2016-Japanese-Full-Base-2023.03.15</t>
    <phoneticPr fontId="1"/>
  </si>
  <si>
    <t>ami-052e2b31653c38a77</t>
    <phoneticPr fontId="1"/>
  </si>
  <si>
    <t>Windows_Server-2016-English-Full-Base-2023.03.15</t>
    <phoneticPr fontId="1"/>
  </si>
  <si>
    <t>ami-0e6081ccf47667751</t>
    <phoneticPr fontId="1"/>
  </si>
  <si>
    <t>Windows_Server-2022-Japanese-Full-Base-2023.04.12</t>
    <phoneticPr fontId="1"/>
  </si>
  <si>
    <t>ami-0a022c6320525bf77</t>
    <phoneticPr fontId="1"/>
  </si>
  <si>
    <t>Windows_Server-2022-English-Full-Base-2023.04.12</t>
    <phoneticPr fontId="1"/>
  </si>
  <si>
    <t>ami-0f6816cbdffbdde6c</t>
    <phoneticPr fontId="1"/>
  </si>
  <si>
    <t>Windows_Server-2019-Japanese-Full-Base-2023.04.12</t>
    <phoneticPr fontId="1"/>
  </si>
  <si>
    <t>ami-00ff923728e39ebaa</t>
    <phoneticPr fontId="1"/>
  </si>
  <si>
    <t>Windows_Server-2019-English-Full-Base-2023.04.12</t>
    <phoneticPr fontId="1"/>
  </si>
  <si>
    <t>ami-09080a875ef47d919</t>
    <phoneticPr fontId="1"/>
  </si>
  <si>
    <t>Windows_Server-2016-Japanese-Full-Base-2023.04.12</t>
    <phoneticPr fontId="1"/>
  </si>
  <si>
    <t>ami-0cd9297784a9141d1</t>
    <phoneticPr fontId="1"/>
  </si>
  <si>
    <t>Windows_Server-2016-English-Full-Base-2023.04.12</t>
    <phoneticPr fontId="1"/>
  </si>
  <si>
    <t>ami-076347857b1dadbba</t>
    <phoneticPr fontId="1"/>
  </si>
  <si>
    <t>Windows_Server-2022-Japanese-Full-Base-2023.05.10</t>
    <phoneticPr fontId="1"/>
  </si>
  <si>
    <t>ami-0373bd2f6665b3540</t>
    <phoneticPr fontId="1"/>
  </si>
  <si>
    <t>Windows_Server-2022-English-Full-Base-2023.05.10</t>
    <phoneticPr fontId="1"/>
  </si>
  <si>
    <t>ami-02e06112a2480834a</t>
    <phoneticPr fontId="1"/>
  </si>
  <si>
    <t>Windows_Server-2019-Japanese-Full-Base-2023.05.10</t>
    <phoneticPr fontId="1"/>
  </si>
  <si>
    <t>ami-077719d185e1d6d0c</t>
    <phoneticPr fontId="1"/>
  </si>
  <si>
    <t>Windows_Server-2019-English-Full-Base-2023.05.10</t>
    <phoneticPr fontId="1"/>
  </si>
  <si>
    <t>ami-035f902e3a175fb99</t>
    <phoneticPr fontId="1"/>
  </si>
  <si>
    <t>Windows_Server-2016-Japanese-Full-Base-2023.05.10</t>
    <phoneticPr fontId="1"/>
  </si>
  <si>
    <t>ami-079338d49bc60aabc</t>
    <phoneticPr fontId="1"/>
  </si>
  <si>
    <t>Windows_Server-2016-English-Full-Base-2023.05.10</t>
    <phoneticPr fontId="1"/>
  </si>
  <si>
    <t>ami-046bca990933daf89</t>
    <phoneticPr fontId="1"/>
  </si>
  <si>
    <t>Windows_Server-2022-Japanese-Full-Base-2023.06.14</t>
    <phoneticPr fontId="1"/>
  </si>
  <si>
    <t>ami-02d019195385b83ae</t>
    <phoneticPr fontId="1"/>
  </si>
  <si>
    <t>Windows_Server-2022-Japanese-Full-Base-2023.08.10</t>
    <phoneticPr fontId="1"/>
  </si>
  <si>
    <t>ami-0270088cd6da63d1e</t>
    <phoneticPr fontId="1"/>
  </si>
  <si>
    <t>Windows_Server-2022-Japanese-Full-SQL_2019_Standard-2023.08.10</t>
    <phoneticPr fontId="1"/>
  </si>
  <si>
    <t>ami-053884c98dbf35767</t>
    <phoneticPr fontId="1"/>
  </si>
  <si>
    <t>Windows_Server-2019-Japanese-Full-Base-2023.08.10</t>
    <phoneticPr fontId="1"/>
  </si>
  <si>
    <t>ami-0f3cb8c52eb6662a3</t>
    <phoneticPr fontId="1"/>
  </si>
  <si>
    <t>Windows_Server-2022-Japanese-Full-Base-2023.09.13</t>
    <phoneticPr fontId="1"/>
  </si>
  <si>
    <t>ami-0ef36caf57299116f</t>
    <phoneticPr fontId="1"/>
  </si>
  <si>
    <t>ami-0783e9c9192caa28b</t>
    <phoneticPr fontId="1"/>
  </si>
  <si>
    <t>RHEL-9.2.0_HVM-20230905-x86_64-38-Hourly2-GP2</t>
    <phoneticPr fontId="1"/>
  </si>
  <si>
    <t>ami-04fdeff70b7359022</t>
    <phoneticPr fontId="1"/>
  </si>
  <si>
    <t>Windows_Server-2019-Japanese-Full-Base-2023.10.11</t>
    <phoneticPr fontId="1"/>
  </si>
  <si>
    <t>ami-0230c14394542c55b</t>
    <phoneticPr fontId="1"/>
  </si>
  <si>
    <t>Windows_Server-2019-Japanese-Full-Base-2023.11.15</t>
    <phoneticPr fontId="1"/>
  </si>
  <si>
    <t>ami-099e43634bf937499</t>
    <phoneticPr fontId="1"/>
  </si>
  <si>
    <t>Windows_Server-2022-Japanese-Full-Base-2023.10.11</t>
    <phoneticPr fontId="1"/>
  </si>
  <si>
    <t>Windows_Server-2022-Japanese-Full-Base-2023.11.15</t>
    <phoneticPr fontId="1"/>
  </si>
  <si>
    <t>ami-0ccf1fea52470bfb0</t>
    <phoneticPr fontId="1"/>
  </si>
  <si>
    <t>al2023-ami-2023.2.20231113.0-kernel-6.1-x86_64</t>
    <phoneticPr fontId="1"/>
  </si>
  <si>
    <t>ami-012261b9035f8f938</t>
    <phoneticPr fontId="1"/>
  </si>
  <si>
    <t>Windows_Server-2022-Japanese-Full-Base-2023.12.13</t>
    <phoneticPr fontId="1"/>
  </si>
  <si>
    <t>ami-0632200aa234ad961</t>
    <phoneticPr fontId="1"/>
  </si>
  <si>
    <t>Windows_Server-2019-Japanese-Full-Base-2023.12.13</t>
    <phoneticPr fontId="1"/>
  </si>
  <si>
    <t>ami-0940f34d8912e6fda</t>
    <phoneticPr fontId="1"/>
  </si>
  <si>
    <t>ebr-serv-advanced-rpa-prd-internal</t>
    <phoneticPr fontId="1"/>
  </si>
  <si>
    <t>[本番][内部]RPA</t>
    <phoneticPr fontId="1"/>
  </si>
  <si>
    <t>ebr-serv-advanced-glovia-prd-internal</t>
    <phoneticPr fontId="1"/>
  </si>
  <si>
    <t>[本番][内部]GLOVIA</t>
    <phoneticPr fontId="1"/>
  </si>
  <si>
    <t>ebr-serv-advanced-glovia-dev-internal</t>
    <phoneticPr fontId="1"/>
  </si>
  <si>
    <t>[開発][内部]GLOVIA</t>
    <phoneticPr fontId="1"/>
  </si>
  <si>
    <t>ebr-serv-advanced-rpa-dev-internal</t>
    <phoneticPr fontId="1"/>
  </si>
  <si>
    <t>[開発][内部]RPA</t>
    <phoneticPr fontId="1"/>
  </si>
  <si>
    <t>[本番][内部]GLOVIA</t>
    <rPh sb="1" eb="3">
      <t>ホンバ</t>
    </rPh>
    <rPh sb="5" eb="7">
      <t>ナイブ</t>
    </rPh>
    <phoneticPr fontId="1"/>
  </si>
  <si>
    <t>vpc-advanced-glovia-dev-internal</t>
    <phoneticPr fontId="1"/>
  </si>
  <si>
    <t>vpc-0a39c37d402d8543d</t>
    <phoneticPr fontId="1"/>
  </si>
  <si>
    <t>172.29.239.0/27</t>
    <phoneticPr fontId="1"/>
  </si>
  <si>
    <t>172.29.239.32/27</t>
    <phoneticPr fontId="1"/>
  </si>
  <si>
    <t>172.29.239.64/28</t>
    <phoneticPr fontId="1"/>
  </si>
  <si>
    <t>172.29.239.80/28</t>
    <phoneticPr fontId="1"/>
  </si>
  <si>
    <t>subnet-0982140133524a1e9</t>
    <phoneticPr fontId="1"/>
  </si>
  <si>
    <t>subnet-09cb2c4fb49cc150a</t>
    <phoneticPr fontId="1"/>
  </si>
  <si>
    <t>subnet-018de88b2fb3fe1a5</t>
    <phoneticPr fontId="1"/>
  </si>
  <si>
    <t>subnet-0b33cefea001d36ba</t>
    <phoneticPr fontId="1"/>
  </si>
  <si>
    <t>304121415198</t>
    <phoneticPr fontId="1"/>
  </si>
  <si>
    <t>[開発][内部]GLOVIA</t>
    <rPh sb="1" eb="3">
      <t>カイハツ</t>
    </rPh>
    <phoneticPr fontId="1"/>
  </si>
  <si>
    <t>479730447831</t>
    <phoneticPr fontId="1"/>
  </si>
  <si>
    <t>vpc-0b7a45075722a7dbc</t>
    <phoneticPr fontId="1"/>
  </si>
  <si>
    <t>vpc-advanced-glovia-prd-internal</t>
    <phoneticPr fontId="1"/>
  </si>
  <si>
    <t>172.29.238.0/27</t>
    <phoneticPr fontId="1"/>
  </si>
  <si>
    <t>172.29.238.32/27</t>
    <phoneticPr fontId="1"/>
  </si>
  <si>
    <t>172.29.238.64/28</t>
    <phoneticPr fontId="1"/>
  </si>
  <si>
    <t>172.29.238.80/28</t>
    <phoneticPr fontId="1"/>
  </si>
  <si>
    <t>subnet-07034bb1c6416379f</t>
    <phoneticPr fontId="1"/>
  </si>
  <si>
    <t>subnet-062f563900787065c</t>
    <phoneticPr fontId="1"/>
  </si>
  <si>
    <t>subnet-0a9b07df1d36f494c</t>
    <phoneticPr fontId="1"/>
  </si>
  <si>
    <t>subnet-0c6c48c6998d9e6d1</t>
    <phoneticPr fontId="1"/>
  </si>
  <si>
    <t>Windows_Server-2022-Japanese-Full-Base-2024.01.10</t>
    <phoneticPr fontId="1"/>
  </si>
  <si>
    <t>ami-03c1fb8d4be81f12e</t>
    <phoneticPr fontId="1"/>
  </si>
  <si>
    <t>c7i.large</t>
  </si>
  <si>
    <t>c7i.xlarge</t>
  </si>
  <si>
    <t>c7i.2xlarge</t>
  </si>
  <si>
    <t>c7i.4xlarge</t>
  </si>
  <si>
    <t>c7i.8xlarge</t>
  </si>
  <si>
    <t>c7i.12xlarge</t>
  </si>
  <si>
    <t>c7i.16xlarge</t>
  </si>
  <si>
    <t>c7i.24xlarge</t>
  </si>
  <si>
    <t>c7i.48xlarge</t>
  </si>
  <si>
    <t>r7i.large</t>
  </si>
  <si>
    <t>r7i.xlarge</t>
  </si>
  <si>
    <t>r7i.2xlarge</t>
  </si>
  <si>
    <t>r7i.4xlarge</t>
  </si>
  <si>
    <t>r7i.8xlarge</t>
  </si>
  <si>
    <t>r7i.12xlarge</t>
  </si>
  <si>
    <t>r7i.16xlarge</t>
  </si>
  <si>
    <t>r7i.24xlarge</t>
  </si>
  <si>
    <t>r7i.48xlarge</t>
  </si>
  <si>
    <t>[アベイラビリティゾーン_tyo]</t>
    <phoneticPr fontId="1"/>
  </si>
  <si>
    <t>[アベイラビリティゾーン_fra]</t>
    <phoneticPr fontId="1"/>
  </si>
  <si>
    <t>eu-central-1a</t>
    <phoneticPr fontId="1"/>
  </si>
  <si>
    <t>eu-central-1c</t>
    <phoneticPr fontId="1"/>
  </si>
  <si>
    <t>eu-central-1b</t>
    <phoneticPr fontId="1"/>
  </si>
  <si>
    <t>欧州 (フランクフルト)</t>
    <phoneticPr fontId="1"/>
  </si>
  <si>
    <t>fra：フランクフルト</t>
    <phoneticPr fontId="1"/>
  </si>
  <si>
    <t>アジアパシフィック (シンガポール)</t>
    <phoneticPr fontId="1"/>
  </si>
  <si>
    <t>sin：シンガポール</t>
    <phoneticPr fontId="1"/>
  </si>
  <si>
    <t>[アベイラビリティゾーン_nvi]</t>
    <phoneticPr fontId="1"/>
  </si>
  <si>
    <t>us-east-1a</t>
    <phoneticPr fontId="1"/>
  </si>
  <si>
    <t>us-east-1c</t>
    <phoneticPr fontId="1"/>
  </si>
  <si>
    <t>us-east-1d</t>
    <phoneticPr fontId="1"/>
  </si>
  <si>
    <t>[アベイラビリティゾーンsin]</t>
    <phoneticPr fontId="1"/>
  </si>
  <si>
    <t>ap-southeast-1a</t>
    <phoneticPr fontId="1"/>
  </si>
  <si>
    <t>ap-southeast-1c</t>
    <phoneticPr fontId="1"/>
  </si>
  <si>
    <t>ap-southeast-1d</t>
    <phoneticPr fontId="1"/>
  </si>
  <si>
    <t>Windows_Server-2022-Japanese-Full-Base-2024.01.16</t>
  </si>
  <si>
    <t>ami-0b9ac692b646fcd07</t>
  </si>
  <si>
    <t>ami-0669b163befffbdfc</t>
    <phoneticPr fontId="1"/>
  </si>
  <si>
    <t>[ap-northeast-1]</t>
    <phoneticPr fontId="1"/>
  </si>
  <si>
    <t>[eu-central-1]</t>
    <phoneticPr fontId="1"/>
  </si>
  <si>
    <t>m7i-flex.large</t>
  </si>
  <si>
    <t>m7i-flex.xlarge</t>
  </si>
  <si>
    <t>m7i-flex.2xlarge</t>
  </si>
  <si>
    <t>m7i-flex.4xlarge</t>
  </si>
  <si>
    <t xml:space="preserve">m7i-flex.8xlarge	</t>
  </si>
  <si>
    <t>[本番][内部]人事データ</t>
    <rPh sb="8" eb="10">
      <t>ジンジ</t>
    </rPh>
    <phoneticPr fontId="1"/>
  </si>
  <si>
    <t>ebr-serv-advanced-hrdatawarehouse-prd-internal</t>
  </si>
  <si>
    <t>[開発][内部]人事データ</t>
    <rPh sb="8" eb="10">
      <t>ジンジ</t>
    </rPh>
    <phoneticPr fontId="1"/>
  </si>
  <si>
    <t>ebr-serv-advanced-hrdatawarehouse-dev-internal</t>
  </si>
  <si>
    <t>[開発][内部]Fortigate</t>
    <phoneticPr fontId="1"/>
  </si>
  <si>
    <t>ebr-serv-advanced-fortigatesc01-dev-internal</t>
  </si>
  <si>
    <t>ebr-serv-advanced-hrdatawarehouse-prd-internal</t>
    <phoneticPr fontId="1"/>
  </si>
  <si>
    <t>[本番][内部]人事データ</t>
    <phoneticPr fontId="1"/>
  </si>
  <si>
    <t>767397891516</t>
    <phoneticPr fontId="1"/>
  </si>
  <si>
    <t>vpc-advanced-hrdatawarehouse-prd-internal</t>
    <phoneticPr fontId="1"/>
  </si>
  <si>
    <t>vpc-048ac3c45924a5bba</t>
    <phoneticPr fontId="1"/>
  </si>
  <si>
    <t>172.29.66.0/27</t>
    <phoneticPr fontId="1"/>
  </si>
  <si>
    <t>「データ管理シート」に以下アカウント情報を追加。
・ebr-serv-advanced-dataplatform-dev-internal
・ebr-serv-advanced-dataplatform-prd-internal</t>
    <rPh sb="4" eb="6">
      <t>カンリ</t>
    </rPh>
    <rPh sb="11" eb="13">
      <t>イカ</t>
    </rPh>
    <rPh sb="18" eb="20">
      <t>ジョウホウ</t>
    </rPh>
    <rPh sb="21" eb="23">
      <t>ツイカ</t>
    </rPh>
    <phoneticPr fontId="1"/>
  </si>
  <si>
    <t>172.29.66.32/27</t>
    <phoneticPr fontId="1"/>
  </si>
  <si>
    <t>172.29.66.64/27</t>
    <phoneticPr fontId="1"/>
  </si>
  <si>
    <t>172.29.66.96/28</t>
    <phoneticPr fontId="1"/>
  </si>
  <si>
    <t>172.29.66.112/28</t>
    <phoneticPr fontId="1"/>
  </si>
  <si>
    <t>172.29.66.128/28</t>
    <phoneticPr fontId="1"/>
  </si>
  <si>
    <t>subnet-0582cb3cb82ccfe7a</t>
    <phoneticPr fontId="1"/>
  </si>
  <si>
    <t>subnet-0d1f9450457490a41</t>
    <phoneticPr fontId="1"/>
  </si>
  <si>
    <t>subnet-0474f2f595fa92962</t>
    <phoneticPr fontId="1"/>
  </si>
  <si>
    <t>subnet-0da6f5658e394817a</t>
    <phoneticPr fontId="1"/>
  </si>
  <si>
    <t>subnet-0caa2e40233715169</t>
    <phoneticPr fontId="1"/>
  </si>
  <si>
    <t>subnet-002cdcffd874d2f29</t>
    <phoneticPr fontId="1"/>
  </si>
  <si>
    <t>[開発][内部]人事データ</t>
    <rPh sb="1" eb="3">
      <t>カイハツ</t>
    </rPh>
    <rPh sb="8" eb="10">
      <t>ジンジ</t>
    </rPh>
    <phoneticPr fontId="1"/>
  </si>
  <si>
    <t>211125294122</t>
    <phoneticPr fontId="1"/>
  </si>
  <si>
    <t>vpc-advanced-hrdatawarehouse-dev-internal</t>
    <phoneticPr fontId="1"/>
  </si>
  <si>
    <t>vpc-0ab5789077d92d489</t>
    <phoneticPr fontId="1"/>
  </si>
  <si>
    <t>172.29.67.0/27</t>
    <phoneticPr fontId="1"/>
  </si>
  <si>
    <t>subnet-0f957deedb61b614a</t>
    <phoneticPr fontId="1"/>
  </si>
  <si>
    <t>172.29.67.32/27</t>
    <phoneticPr fontId="1"/>
  </si>
  <si>
    <t>subnet-0c3f6a43eb0fba003</t>
    <phoneticPr fontId="1"/>
  </si>
  <si>
    <t>172.29.67.64/27</t>
    <phoneticPr fontId="1"/>
  </si>
  <si>
    <t>subnet-0a43844da9951b8ac</t>
    <phoneticPr fontId="1"/>
  </si>
  <si>
    <t>172.29.67.96/28</t>
    <phoneticPr fontId="1"/>
  </si>
  <si>
    <t>subnet-08d570c8886ec742f</t>
    <phoneticPr fontId="1"/>
  </si>
  <si>
    <t>172.29.67.128/28</t>
    <phoneticPr fontId="1"/>
  </si>
  <si>
    <t>subnet-0f26c71dc1111602d</t>
    <phoneticPr fontId="1"/>
  </si>
  <si>
    <t>172.29.67.112/28</t>
    <phoneticPr fontId="1"/>
  </si>
  <si>
    <t>subnet-0ecd41a6c7a0be62e</t>
    <phoneticPr fontId="1"/>
  </si>
  <si>
    <t>[開発][内部]Fortigate</t>
  </si>
  <si>
    <t>381492225907</t>
    <phoneticPr fontId="1"/>
  </si>
  <si>
    <t xml:space="preserve"> vpc-advanced-fortigatesc01-dev-internal</t>
    <phoneticPr fontId="1"/>
  </si>
  <si>
    <t>vpc-050f0444424963528</t>
    <phoneticPr fontId="1"/>
  </si>
  <si>
    <t>172.29.68.0/27</t>
    <phoneticPr fontId="1"/>
  </si>
  <si>
    <t>subnet-084543d43375e20c8</t>
    <phoneticPr fontId="1"/>
  </si>
  <si>
    <t>172.29.68.32/27</t>
    <phoneticPr fontId="1"/>
  </si>
  <si>
    <t>subnet-05d99d30d70fd6d95</t>
    <phoneticPr fontId="1"/>
  </si>
  <si>
    <t>172.29.68.64/28</t>
    <phoneticPr fontId="1"/>
  </si>
  <si>
    <t>subnet-02332aa93bf2fd311</t>
    <phoneticPr fontId="1"/>
  </si>
  <si>
    <t>172.29.68.80/28</t>
    <phoneticPr fontId="1"/>
  </si>
  <si>
    <t>subnet-07403d70abfc02d09</t>
    <phoneticPr fontId="1"/>
  </si>
  <si>
    <t>[本番][内部]DataPlatform</t>
  </si>
  <si>
    <t>[本番][内部]DataPlatform</t>
    <phoneticPr fontId="1"/>
  </si>
  <si>
    <t>[開発][内部]DataPlatform</t>
  </si>
  <si>
    <t>[開発][内部]DataPlatform</t>
    <phoneticPr fontId="1"/>
  </si>
  <si>
    <t>ebr-serv-advanced-dataplatform-dev-internal</t>
    <phoneticPr fontId="1"/>
  </si>
  <si>
    <t>533267117752</t>
    <phoneticPr fontId="1"/>
  </si>
  <si>
    <t>vpc-advanced-dataplatform-prd-internal</t>
    <phoneticPr fontId="1"/>
  </si>
  <si>
    <t>vpc-0073eaeeb6ecd5ce1</t>
    <phoneticPr fontId="1"/>
  </si>
  <si>
    <t>172.29.64.0/27</t>
    <phoneticPr fontId="1"/>
  </si>
  <si>
    <t>subnet-0b519f200c2332bff</t>
    <phoneticPr fontId="1"/>
  </si>
  <si>
    <t>172.29.64.32/27</t>
    <phoneticPr fontId="1"/>
  </si>
  <si>
    <t>subnet-0bf5cc80c760f2186</t>
    <phoneticPr fontId="1"/>
  </si>
  <si>
    <t>172.29.64.64/28</t>
    <phoneticPr fontId="1"/>
  </si>
  <si>
    <t>subnet-046153bc8c3756301</t>
    <phoneticPr fontId="1"/>
  </si>
  <si>
    <t>172.29.64.80/28</t>
    <phoneticPr fontId="1"/>
  </si>
  <si>
    <t>subnet-0a664be343448d254</t>
    <phoneticPr fontId="1"/>
  </si>
  <si>
    <t>058264123165</t>
    <phoneticPr fontId="1"/>
  </si>
  <si>
    <t>ebr-serv-advanced-dataplatform-prd-internal</t>
    <phoneticPr fontId="1"/>
  </si>
  <si>
    <t>vpc-advanced-dataplatform-dev-internal</t>
    <phoneticPr fontId="1"/>
  </si>
  <si>
    <t>vpc-0e90274cb5a3c591a</t>
    <phoneticPr fontId="1"/>
  </si>
  <si>
    <t>172.29.65.0/27</t>
    <phoneticPr fontId="1"/>
  </si>
  <si>
    <t>subnet-01494dbc90b3afdae</t>
    <phoneticPr fontId="1"/>
  </si>
  <si>
    <t>172.29.65.32/27</t>
    <phoneticPr fontId="1"/>
  </si>
  <si>
    <t>subnet-08f9ca1e8d1e72cfe</t>
    <phoneticPr fontId="1"/>
  </si>
  <si>
    <t>172.29.65.64/28</t>
    <phoneticPr fontId="1"/>
  </si>
  <si>
    <t>subnet-01576315fe9a857b5</t>
    <phoneticPr fontId="1"/>
  </si>
  <si>
    <t>172.29.65.80/28</t>
    <phoneticPr fontId="1"/>
  </si>
  <si>
    <t>subnet-0f196b766aa7ef026</t>
    <phoneticPr fontId="1"/>
  </si>
  <si>
    <t>タグ#10</t>
    <phoneticPr fontId="1"/>
  </si>
  <si>
    <t>[本番][内部]RPA</t>
    <rPh sb="1" eb="3">
      <t>ホンバ</t>
    </rPh>
    <rPh sb="5" eb="7">
      <t>ナイブ</t>
    </rPh>
    <phoneticPr fontId="1"/>
  </si>
  <si>
    <t>[開発][内部]RPA</t>
    <rPh sb="1" eb="3">
      <t>カイハツ</t>
    </rPh>
    <phoneticPr fontId="1"/>
  </si>
  <si>
    <t>929317409099</t>
    <phoneticPr fontId="1"/>
  </si>
  <si>
    <t>vpc-advanced-rpa-dev-internal</t>
    <phoneticPr fontId="1"/>
  </si>
  <si>
    <t>vpc-023f117ce826f16dc</t>
    <phoneticPr fontId="1"/>
  </si>
  <si>
    <t>172.29.237.0/27</t>
    <phoneticPr fontId="1"/>
  </si>
  <si>
    <t>subnet-0a85585fc79a06f0d</t>
    <phoneticPr fontId="1"/>
  </si>
  <si>
    <t>172.29.237.32/27</t>
    <phoneticPr fontId="1"/>
  </si>
  <si>
    <t>subnet-034e16de54b7253fe</t>
    <phoneticPr fontId="1"/>
  </si>
  <si>
    <t>172.29.237.64/28</t>
    <phoneticPr fontId="1"/>
  </si>
  <si>
    <t>subnet-0b44897005c0fc7f1</t>
    <phoneticPr fontId="1"/>
  </si>
  <si>
    <t>172.29.237.80/28</t>
    <phoneticPr fontId="1"/>
  </si>
  <si>
    <t>subnet-0cfd05160539f237c</t>
    <phoneticPr fontId="1"/>
  </si>
  <si>
    <t>ec2role-ssm-managed-access</t>
  </si>
  <si>
    <t>741258930448</t>
    <phoneticPr fontId="1"/>
  </si>
  <si>
    <t>ebr-serv-advanced-rpa-prd-internal</t>
  </si>
  <si>
    <t>vpc-advanced-rpa-prd-internal</t>
    <phoneticPr fontId="1"/>
  </si>
  <si>
    <t>vpc-07e417552f9a1ffc5</t>
  </si>
  <si>
    <t>subnet-074e5ff36e70732fa</t>
  </si>
  <si>
    <t>172.29.236.0/27</t>
  </si>
  <si>
    <t>172.29.236.32/27</t>
  </si>
  <si>
    <t>subnet-08971baa0f3e51ed9</t>
  </si>
  <si>
    <t>subnet-03b971691a13c1245</t>
  </si>
  <si>
    <t>172.29.236.64/28</t>
  </si>
  <si>
    <t>subnet-00ea0cf6a6a07e252</t>
  </si>
  <si>
    <t>172.29.236.80/28</t>
  </si>
  <si>
    <t>50：任意</t>
    <rPh sb="3" eb="5">
      <t>ニンイ</t>
    </rPh>
    <phoneticPr fontId="1"/>
  </si>
  <si>
    <t>ebr-serv-advanced-digitaltwin-dev-internal</t>
  </si>
  <si>
    <t>RHEL9.4</t>
  </si>
  <si>
    <t>byvq01tyoap02-dev-sda1</t>
  </si>
  <si>
    <t>ec2-user</t>
  </si>
  <si>
    <t>鍵認証</t>
  </si>
  <si>
    <t>ヒアリングシート(Linux)</t>
  </si>
  <si>
    <t>ebr-serv-advanced-digitaltwin-prd-internal</t>
  </si>
  <si>
    <t>新しいセキュリティグループを作成する</t>
  </si>
  <si>
    <t>新しいキーペアの作成</t>
  </si>
  <si>
    <t>No</t>
  </si>
  <si>
    <t>Cloud Platform</t>
  </si>
  <si>
    <t>Network</t>
  </si>
  <si>
    <t>3rd Octed</t>
  </si>
  <si>
    <t>region</t>
  </si>
  <si>
    <t>SubnetName</t>
  </si>
  <si>
    <t>AvailabilityZone</t>
  </si>
  <si>
    <t>InstanceID</t>
  </si>
  <si>
    <t>IP address</t>
  </si>
  <si>
    <t>LandScape</t>
  </si>
  <si>
    <r>
      <t>env</t>
    </r>
    <r>
      <rPr>
        <sz val="10"/>
        <color rgb="FF000000"/>
        <rFont val="ＭＳ Ｐゴシック"/>
        <family val="3"/>
        <charset val="128"/>
      </rPr>
      <t>タグ</t>
    </r>
  </si>
  <si>
    <r>
      <t>Hostname</t>
    </r>
    <r>
      <rPr>
        <sz val="10"/>
        <color rgb="FF000000"/>
        <rFont val="ＭＳ Ｐゴシック"/>
        <family val="3"/>
        <charset val="128"/>
      </rPr>
      <t>タグ</t>
    </r>
  </si>
  <si>
    <r>
      <t>System</t>
    </r>
    <r>
      <rPr>
        <sz val="10"/>
        <color rgb="FF000000"/>
        <rFont val="Yu Gothic"/>
        <family val="3"/>
        <charset val="128"/>
      </rPr>
      <t>タグ</t>
    </r>
  </si>
  <si>
    <r>
      <t>CostAllocation</t>
    </r>
    <r>
      <rPr>
        <sz val="10"/>
        <color rgb="FF000000"/>
        <rFont val="Yu Gothic"/>
        <family val="3"/>
        <charset val="128"/>
      </rPr>
      <t>タグ</t>
    </r>
  </si>
  <si>
    <r>
      <t>OS</t>
    </r>
    <r>
      <rPr>
        <sz val="10"/>
        <color rgb="FF000000"/>
        <rFont val="ＭＳ Ｐゴシック"/>
        <family val="3"/>
        <charset val="128"/>
      </rPr>
      <t>タグ</t>
    </r>
  </si>
  <si>
    <r>
      <t>SQLBundle</t>
    </r>
    <r>
      <rPr>
        <sz val="10"/>
        <color rgb="FF000000"/>
        <rFont val="ＭＳ Ｐゴシック"/>
        <family val="3"/>
        <charset val="128"/>
      </rPr>
      <t>タグ</t>
    </r>
  </si>
  <si>
    <t>InstanceType</t>
  </si>
  <si>
    <t>vCPU</t>
  </si>
  <si>
    <t>Memory</t>
  </si>
  <si>
    <t>Disk</t>
  </si>
  <si>
    <t>OS</t>
  </si>
  <si>
    <t>正管理者</t>
  </si>
  <si>
    <r>
      <t>正管理者</t>
    </r>
    <r>
      <rPr>
        <sz val="10"/>
        <color rgb="FF000000"/>
        <rFont val="Consolas"/>
        <family val="3"/>
      </rPr>
      <t>-</t>
    </r>
    <r>
      <rPr>
        <sz val="10"/>
        <color rgb="FF000000"/>
        <rFont val="BIZ UDゴシック"/>
        <family val="3"/>
        <charset val="128"/>
      </rPr>
      <t>連絡先</t>
    </r>
  </si>
  <si>
    <t>副管理者</t>
  </si>
  <si>
    <r>
      <t>服管理者</t>
    </r>
    <r>
      <rPr>
        <sz val="10"/>
        <color rgb="FF000000"/>
        <rFont val="Consolas"/>
        <family val="3"/>
      </rPr>
      <t>-</t>
    </r>
    <r>
      <rPr>
        <sz val="10"/>
        <color rgb="FF000000"/>
        <rFont val="ＭＳ Ｐゴシック"/>
        <family val="3"/>
        <charset val="128"/>
      </rPr>
      <t>連絡先</t>
    </r>
  </si>
  <si>
    <t>RegisterDate</t>
  </si>
  <si>
    <t>Register</t>
  </si>
  <si>
    <t>備考</t>
  </si>
  <si>
    <t>AWS</t>
    <phoneticPr fontId="1"/>
  </si>
  <si>
    <t>ap-northeast-1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</si>
</sst>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GB&quot;"/>
    <numFmt numFmtId="177" formatCode="0&quot;Mbps&quot;"/>
    <numFmt numFmtId="178" formatCode="0&quot;vCPU&quot;"/>
    <numFmt numFmtId="179" formatCode="General;General;"/>
    <numFmt numFmtId="180" formatCode="0_);[Red]\(0\)"/>
    <numFmt numFmtId="181" formatCode="0&quot;GiB&quot;"/>
  </numFmts>
  <fonts count="30">
    <font>
      <sz val="11"/>
      <color theme="1"/>
      <name val="游ゴシック"/>
      <family val="2"/>
      <charset val="128"/>
      <scheme val="minor"/>
    </font>
    <font>
      <sz val="6"/>
      <name val="游ゴシック"/>
      <family val="2"/>
      <charset val="128"/>
      <scheme val="minor"/>
    </font>
    <font>
      <sz val="12"/>
      <color theme="1"/>
      <name val="Meiryo UI"/>
      <family val="3"/>
      <charset val="128"/>
    </font>
    <font>
      <sz val="6"/>
      <name val="游ゴシック"/>
      <family val="3"/>
      <charset val="128"/>
      <scheme val="minor"/>
    </font>
    <font>
      <sz val="12"/>
      <name val="Meiryo UI"/>
      <family val="3"/>
      <charset val="128"/>
    </font>
    <font>
      <sz val="11"/>
      <color theme="1"/>
      <name val="游ゴシック"/>
      <family val="3"/>
      <charset val="128"/>
      <scheme val="minor"/>
    </font>
    <font>
      <sz val="11"/>
      <color rgb="FF16191F"/>
      <name val="游ゴシック"/>
      <family val="3"/>
      <charset val="128"/>
      <scheme val="minor"/>
    </font>
    <font>
      <b/>
      <u/>
      <sz val="18"/>
      <color theme="1"/>
      <name val="Meiryo UI"/>
      <family val="3"/>
      <charset val="128"/>
    </font>
    <font>
      <sz val="11"/>
      <color theme="1"/>
      <name val="Meiryo UI"/>
      <family val="3"/>
      <charset val="128"/>
    </font>
    <font>
      <sz val="18"/>
      <color theme="1"/>
      <name val="Meiryo UI"/>
      <family val="3"/>
      <charset val="128"/>
    </font>
    <font>
      <sz val="14"/>
      <color theme="1"/>
      <name val="Meiryo UI"/>
      <family val="3"/>
      <charset val="128"/>
    </font>
    <font>
      <sz val="11"/>
      <name val="Meiryo UI"/>
      <family val="3"/>
      <charset val="128"/>
    </font>
    <font>
      <sz val="12"/>
      <color rgb="FFFF0000"/>
      <name val="Meiryo UI"/>
      <family val="3"/>
      <charset val="128"/>
    </font>
    <font>
      <sz val="11"/>
      <color theme="0"/>
      <name val="游ゴシック"/>
      <family val="3"/>
      <charset val="128"/>
      <scheme val="minor"/>
    </font>
    <font>
      <sz val="11"/>
      <color indexed="81"/>
      <name val="Meiryo UI"/>
      <family val="3"/>
      <charset val="128"/>
    </font>
    <font>
      <b/>
      <sz val="11"/>
      <color indexed="81"/>
      <name val="Meiryo UI"/>
      <family val="3"/>
      <charset val="128"/>
    </font>
    <font>
      <b/>
      <sz val="12"/>
      <color theme="1"/>
      <name val="Meiryo UI"/>
      <family val="3"/>
      <charset val="128"/>
    </font>
    <font>
      <sz val="12"/>
      <color theme="1"/>
      <name val="Consolas"/>
      <family val="3"/>
    </font>
    <font>
      <sz val="11"/>
      <name val="ＭＳ Ｐゴシック"/>
      <family val="3"/>
      <charset val="128"/>
    </font>
    <font>
      <sz val="6"/>
      <name val="ＭＳ Ｐゴシック"/>
      <family val="3"/>
      <charset val="128"/>
    </font>
    <font>
      <b/>
      <sz val="11"/>
      <color theme="0"/>
      <name val="游ゴシック"/>
      <family val="2"/>
      <charset val="128"/>
      <scheme val="minor"/>
    </font>
    <font>
      <b/>
      <sz val="11"/>
      <color theme="0"/>
      <name val="游ゴシック"/>
      <family val="3"/>
      <charset val="128"/>
      <scheme val="minor"/>
    </font>
    <font>
      <b/>
      <u/>
      <sz val="18"/>
      <color theme="0" tint="-0.34998626667073579"/>
      <name val="Meiryo UI"/>
      <family val="3"/>
      <charset val="128"/>
    </font>
    <font>
      <sz val="12"/>
      <color theme="0" tint="-0.34998626667073579"/>
      <name val="Meiryo UI"/>
      <family val="3"/>
      <charset val="128"/>
    </font>
    <font>
      <sz val="9"/>
      <color theme="0" tint="-0.34998626667073579"/>
      <name val="Meiryo UI"/>
      <family val="3"/>
      <charset val="128"/>
    </font>
    <font>
      <sz val="9"/>
      <color theme="0"/>
      <name val="Meiryo UI"/>
      <family val="3"/>
      <charset val="128"/>
    </font>
    <font>
      <sz val="10"/>
      <color rgb="FF000000"/>
      <name val="Consolas"/>
      <family val="3"/>
    </font>
    <font>
      <sz val="10"/>
      <color rgb="FF000000"/>
      <name val="ＭＳ Ｐゴシック"/>
      <family val="3"/>
      <charset val="128"/>
    </font>
    <font>
      <sz val="10"/>
      <color rgb="FF000000"/>
      <name val="Yu Gothic"/>
      <family val="3"/>
      <charset val="128"/>
    </font>
    <font>
      <sz val="10"/>
      <color rgb="FF000000"/>
      <name val="BIZ UDゴシック"/>
      <family val="3"/>
      <charset val="128"/>
    </font>
  </fonts>
  <fills count="1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8DB4E2"/>
        <bgColor indexed="64"/>
      </patternFill>
    </fill>
    <fill>
      <patternFill patternType="solid">
        <fgColor rgb="FF92D050"/>
        <bgColor indexed="64"/>
      </patternFill>
    </fill>
    <fill>
      <patternFill patternType="solid">
        <fgColor rgb="FFCCFFCC"/>
        <bgColor indexed="64"/>
      </patternFill>
    </fill>
    <fill>
      <patternFill patternType="solid">
        <fgColor theme="3" tint="0.59999389629810485"/>
        <bgColor indexed="64"/>
      </patternFill>
    </fill>
    <fill>
      <patternFill patternType="solid">
        <fgColor rgb="FFFFCCFF"/>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FC5E8"/>
        <bgColor rgb="FF9FC5E8"/>
      </patternFill>
    </fill>
    <fill>
      <patternFill patternType="solid">
        <fgColor rgb="FFFFFF00"/>
        <bgColor rgb="FFFFFF00"/>
      </patternFill>
    </fill>
    <fill>
      <patternFill patternType="solid">
        <fgColor rgb="FFB3CEFA"/>
        <bgColor rgb="FFB3CEFA"/>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auto="1"/>
      </left>
      <right style="thin">
        <color auto="1"/>
      </right>
      <top/>
      <bottom style="thin">
        <color auto="1"/>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thin">
        <color indexed="64"/>
      </bottom>
      <diagonal/>
    </border>
    <border>
      <left/>
      <right/>
      <top style="hair">
        <color indexed="64"/>
      </top>
      <bottom/>
      <diagonal/>
    </border>
    <border>
      <left/>
      <right style="thin">
        <color indexed="64"/>
      </right>
      <top/>
      <bottom style="thin">
        <color indexed="64"/>
      </bottom>
      <diagonal/>
    </border>
    <border>
      <left style="thin">
        <color theme="1"/>
      </left>
      <right style="thin">
        <color indexed="9"/>
      </right>
      <top style="thin">
        <color theme="1"/>
      </top>
      <bottom style="double">
        <color theme="0"/>
      </bottom>
      <diagonal/>
    </border>
    <border>
      <left style="thin">
        <color indexed="9"/>
      </left>
      <right style="thin">
        <color indexed="9"/>
      </right>
      <top style="thin">
        <color theme="1"/>
      </top>
      <bottom style="double">
        <color theme="0"/>
      </bottom>
      <diagonal/>
    </border>
    <border>
      <left style="thin">
        <color indexed="9"/>
      </left>
      <right style="thin">
        <color theme="1"/>
      </right>
      <top style="thin">
        <color theme="1"/>
      </top>
      <bottom style="double">
        <color theme="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double">
        <color rgb="FF000000"/>
      </top>
      <bottom style="double">
        <color rgb="FF000000"/>
      </bottom>
      <diagonal/>
    </border>
  </borders>
  <cellStyleXfs count="2">
    <xf numFmtId="0" fontId="0" fillId="0" borderId="0">
      <alignment vertical="center"/>
    </xf>
    <xf numFmtId="0" fontId="18" fillId="0" borderId="0">
      <alignment vertical="center"/>
    </xf>
  </cellStyleXfs>
  <cellXfs count="301">
    <xf numFmtId="0" fontId="0" fillId="0" borderId="0" xfId="0">
      <alignment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right" vertical="center"/>
    </xf>
    <xf numFmtId="0" fontId="5" fillId="0" borderId="0" xfId="0" applyFont="1">
      <alignment vertical="center"/>
    </xf>
    <xf numFmtId="0" fontId="5" fillId="0" borderId="0" xfId="0" applyFont="1" applyAlignment="1">
      <alignment horizontal="left" vertical="center"/>
    </xf>
    <xf numFmtId="49" fontId="5" fillId="0" borderId="0" xfId="0" applyNumberFormat="1" applyFont="1" applyAlignment="1">
      <alignment horizontal="lef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8" fillId="0" borderId="0" xfId="0" applyFont="1" applyAlignment="1">
      <alignment horizontal="center" vertical="center"/>
    </xf>
    <xf numFmtId="0" fontId="10" fillId="0" borderId="0" xfId="0" applyFont="1">
      <alignment vertical="center"/>
    </xf>
    <xf numFmtId="0" fontId="8" fillId="0" borderId="3" xfId="0" applyFont="1" applyBorder="1">
      <alignment vertical="center"/>
    </xf>
    <xf numFmtId="0" fontId="11" fillId="0" borderId="0" xfId="0" applyFont="1">
      <alignment vertical="center"/>
    </xf>
    <xf numFmtId="0" fontId="11" fillId="0" borderId="10" xfId="0" applyFont="1" applyBorder="1" applyAlignment="1">
      <alignment vertical="center" shrinkToFit="1"/>
    </xf>
    <xf numFmtId="0" fontId="11" fillId="0" borderId="13" xfId="0" applyFont="1" applyBorder="1" applyAlignment="1">
      <alignment vertical="center" shrinkToFit="1"/>
    </xf>
    <xf numFmtId="0" fontId="8" fillId="0" borderId="14" xfId="0" applyFont="1" applyBorder="1" applyAlignment="1">
      <alignment vertical="center" shrinkToFit="1"/>
    </xf>
    <xf numFmtId="0" fontId="8" fillId="0" borderId="20" xfId="0" applyFont="1" applyBorder="1" applyAlignment="1">
      <alignment vertical="center" shrinkToFit="1"/>
    </xf>
    <xf numFmtId="0" fontId="8" fillId="0" borderId="20" xfId="0" applyFont="1" applyBorder="1" applyAlignment="1">
      <alignment horizontal="left" vertical="center" shrinkToFit="1"/>
    </xf>
    <xf numFmtId="0" fontId="8" fillId="0" borderId="10" xfId="0" applyFont="1" applyBorder="1" applyAlignment="1">
      <alignment vertical="center" shrinkToFit="1"/>
    </xf>
    <xf numFmtId="0" fontId="8" fillId="0" borderId="10"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2" xfId="0" applyFont="1" applyBorder="1" applyAlignment="1">
      <alignment horizontal="center" vertical="center"/>
    </xf>
    <xf numFmtId="0" fontId="2" fillId="4" borderId="0" xfId="0" applyFont="1" applyFill="1" applyAlignment="1">
      <alignment vertical="center" shrinkToFit="1"/>
    </xf>
    <xf numFmtId="0" fontId="4" fillId="5" borderId="7" xfId="0" applyFont="1" applyFill="1" applyBorder="1" applyAlignment="1">
      <alignment vertical="top"/>
    </xf>
    <xf numFmtId="0" fontId="4" fillId="5" borderId="4" xfId="0" applyFont="1" applyFill="1" applyBorder="1" applyAlignment="1">
      <alignment vertical="top"/>
    </xf>
    <xf numFmtId="0" fontId="4" fillId="5" borderId="5" xfId="0" applyFont="1" applyFill="1" applyBorder="1" applyAlignment="1">
      <alignment vertical="top"/>
    </xf>
    <xf numFmtId="0" fontId="4" fillId="5" borderId="8" xfId="0" applyFont="1" applyFill="1" applyBorder="1" applyAlignment="1">
      <alignment vertical="top"/>
    </xf>
    <xf numFmtId="0" fontId="4" fillId="5" borderId="9" xfId="0" applyFont="1" applyFill="1" applyBorder="1" applyAlignment="1">
      <alignment vertical="top"/>
    </xf>
    <xf numFmtId="0" fontId="4" fillId="5" borderId="11" xfId="0" applyFont="1" applyFill="1" applyBorder="1" applyAlignment="1">
      <alignment vertical="top"/>
    </xf>
    <xf numFmtId="0" fontId="4" fillId="5" borderId="12" xfId="0" applyFont="1" applyFill="1" applyBorder="1" applyAlignment="1">
      <alignment vertical="top"/>
    </xf>
    <xf numFmtId="0" fontId="4" fillId="5" borderId="15" xfId="0" applyFont="1" applyFill="1" applyBorder="1" applyAlignment="1">
      <alignment vertical="top"/>
    </xf>
    <xf numFmtId="0" fontId="4" fillId="5" borderId="16" xfId="0" applyFont="1" applyFill="1" applyBorder="1" applyAlignment="1">
      <alignment vertical="top"/>
    </xf>
    <xf numFmtId="0" fontId="4" fillId="5" borderId="17" xfId="0" applyFont="1" applyFill="1" applyBorder="1" applyAlignment="1">
      <alignment vertical="top"/>
    </xf>
    <xf numFmtId="0" fontId="2" fillId="5" borderId="4" xfId="0" applyFont="1" applyFill="1" applyBorder="1" applyAlignment="1">
      <alignment horizontal="left" vertical="top"/>
    </xf>
    <xf numFmtId="0" fontId="4" fillId="5" borderId="19" xfId="0" applyFont="1" applyFill="1" applyBorder="1" applyAlignment="1">
      <alignment vertical="top"/>
    </xf>
    <xf numFmtId="0" fontId="4" fillId="5" borderId="10" xfId="0" applyFont="1" applyFill="1" applyBorder="1" applyAlignment="1">
      <alignment vertical="top"/>
    </xf>
    <xf numFmtId="0" fontId="4" fillId="5" borderId="2" xfId="0" applyFont="1" applyFill="1" applyBorder="1" applyAlignment="1">
      <alignment vertical="top"/>
    </xf>
    <xf numFmtId="0" fontId="4" fillId="5" borderId="20" xfId="0" applyFont="1" applyFill="1" applyBorder="1" applyAlignment="1">
      <alignment vertical="top"/>
    </xf>
    <xf numFmtId="0" fontId="4" fillId="5" borderId="1" xfId="0" applyFont="1" applyFill="1" applyBorder="1" applyAlignment="1">
      <alignment horizontal="center" vertical="top"/>
    </xf>
    <xf numFmtId="0" fontId="2" fillId="5" borderId="1" xfId="0" applyFont="1" applyFill="1" applyBorder="1" applyAlignment="1">
      <alignment horizontal="left" vertical="top"/>
    </xf>
    <xf numFmtId="0" fontId="2" fillId="5" borderId="18" xfId="0" applyFont="1" applyFill="1" applyBorder="1" applyAlignment="1">
      <alignment horizontal="left" vertical="top" shrinkToFit="1"/>
    </xf>
    <xf numFmtId="0" fontId="13" fillId="0" borderId="0" xfId="0" applyFont="1">
      <alignment vertical="center"/>
    </xf>
    <xf numFmtId="49" fontId="0" fillId="0" borderId="0" xfId="0" applyNumberFormat="1" applyAlignment="1">
      <alignment horizontal="right" vertical="center"/>
    </xf>
    <xf numFmtId="0" fontId="0" fillId="0" borderId="0" xfId="0" applyAlignment="1">
      <alignment vertical="center" wrapText="1"/>
    </xf>
    <xf numFmtId="179" fontId="11" fillId="0" borderId="14" xfId="0" applyNumberFormat="1" applyFont="1" applyBorder="1" applyAlignment="1">
      <alignment horizontal="left" vertical="center" shrinkToFit="1"/>
    </xf>
    <xf numFmtId="179" fontId="8" fillId="0" borderId="0" xfId="0" applyNumberFormat="1" applyFont="1">
      <alignment vertical="center"/>
    </xf>
    <xf numFmtId="179" fontId="4" fillId="5" borderId="1" xfId="0" applyNumberFormat="1" applyFont="1" applyFill="1" applyBorder="1" applyAlignment="1">
      <alignment horizontal="center" vertical="top"/>
    </xf>
    <xf numFmtId="179" fontId="2" fillId="5" borderId="6" xfId="0" applyNumberFormat="1" applyFont="1" applyFill="1" applyBorder="1" applyAlignment="1">
      <alignment horizontal="left" vertical="top"/>
    </xf>
    <xf numFmtId="179" fontId="8" fillId="0" borderId="12" xfId="0" applyNumberFormat="1" applyFont="1" applyBorder="1" applyAlignment="1">
      <alignment horizontal="left" vertical="center" shrinkToFit="1"/>
    </xf>
    <xf numFmtId="179" fontId="2" fillId="5" borderId="4" xfId="0" applyNumberFormat="1" applyFont="1" applyFill="1" applyBorder="1" applyAlignment="1">
      <alignment horizontal="left" vertical="top" shrinkToFit="1"/>
    </xf>
    <xf numFmtId="179" fontId="11" fillId="0" borderId="10" xfId="0" applyNumberFormat="1" applyFont="1" applyBorder="1" applyAlignment="1">
      <alignment horizontal="left" vertical="center" shrinkToFit="1"/>
    </xf>
    <xf numFmtId="179" fontId="11" fillId="0" borderId="9" xfId="0" applyNumberFormat="1" applyFont="1" applyBorder="1" applyAlignment="1">
      <alignment horizontal="left" vertical="center" shrinkToFit="1"/>
    </xf>
    <xf numFmtId="179" fontId="8" fillId="0" borderId="17" xfId="0" applyNumberFormat="1" applyFont="1" applyBorder="1" applyAlignment="1">
      <alignment horizontal="left" vertical="center" shrinkToFit="1"/>
    </xf>
    <xf numFmtId="179" fontId="8" fillId="0" borderId="9" xfId="0" applyNumberFormat="1" applyFont="1" applyBorder="1" applyAlignment="1">
      <alignment horizontal="left" vertical="center" shrinkToFit="1"/>
    </xf>
    <xf numFmtId="179" fontId="8" fillId="0" borderId="10" xfId="0" applyNumberFormat="1" applyFont="1" applyBorder="1" applyAlignment="1">
      <alignment horizontal="left" vertical="center" shrinkToFit="1"/>
    </xf>
    <xf numFmtId="179" fontId="8" fillId="0" borderId="14" xfId="0" applyNumberFormat="1" applyFont="1" applyBorder="1" applyAlignment="1">
      <alignment horizontal="left" vertical="center" shrinkToFit="1"/>
    </xf>
    <xf numFmtId="0" fontId="2" fillId="2" borderId="4" xfId="0" applyFont="1" applyFill="1" applyBorder="1" applyProtection="1">
      <alignment vertical="center"/>
      <protection locked="0"/>
    </xf>
    <xf numFmtId="49" fontId="0" fillId="0" borderId="0" xfId="0" applyNumberFormat="1">
      <alignment vertical="center"/>
    </xf>
    <xf numFmtId="0" fontId="2" fillId="2" borderId="18" xfId="0" applyFont="1" applyFill="1" applyBorder="1" applyProtection="1">
      <alignment vertical="center"/>
      <protection locked="0"/>
    </xf>
    <xf numFmtId="0" fontId="2" fillId="0" borderId="10" xfId="0" applyFont="1" applyBorder="1" applyAlignment="1" applyProtection="1">
      <alignment horizontal="left" vertical="center"/>
      <protection locked="0"/>
    </xf>
    <xf numFmtId="0" fontId="7" fillId="0" borderId="0" xfId="0" applyFont="1" applyProtection="1">
      <alignment vertical="center"/>
      <protection locked="0"/>
    </xf>
    <xf numFmtId="0" fontId="2" fillId="0" borderId="0" xfId="0" applyFont="1" applyProtection="1">
      <alignment vertical="center"/>
      <protection locked="0"/>
    </xf>
    <xf numFmtId="179" fontId="2" fillId="0" borderId="0" xfId="0" applyNumberFormat="1" applyFont="1" applyAlignment="1" applyProtection="1">
      <alignment horizontal="left" vertical="center"/>
      <protection locked="0"/>
    </xf>
    <xf numFmtId="0" fontId="2" fillId="2" borderId="6" xfId="0" applyFont="1" applyFill="1" applyBorder="1" applyProtection="1">
      <alignment vertical="center"/>
      <protection locked="0"/>
    </xf>
    <xf numFmtId="179" fontId="2" fillId="2" borderId="1" xfId="0" applyNumberFormat="1" applyFont="1" applyFill="1" applyBorder="1" applyAlignment="1" applyProtection="1">
      <alignment horizontal="center" vertical="center"/>
      <protection locked="0"/>
    </xf>
    <xf numFmtId="0" fontId="2" fillId="2" borderId="5" xfId="0" applyFont="1" applyFill="1" applyBorder="1" applyProtection="1">
      <alignment vertical="center"/>
      <protection locked="0"/>
    </xf>
    <xf numFmtId="0" fontId="2" fillId="2" borderId="2" xfId="0" applyFont="1" applyFill="1" applyBorder="1" applyProtection="1">
      <alignment vertical="center"/>
      <protection locked="0"/>
    </xf>
    <xf numFmtId="179" fontId="2" fillId="0" borderId="1" xfId="0" applyNumberFormat="1" applyFont="1" applyBorder="1" applyAlignment="1" applyProtection="1">
      <alignment horizontal="left" vertical="center"/>
      <protection locked="0"/>
    </xf>
    <xf numFmtId="0" fontId="2" fillId="2" borderId="22" xfId="0" applyFont="1" applyFill="1" applyBorder="1" applyProtection="1">
      <alignment vertical="center"/>
      <protection locked="0"/>
    </xf>
    <xf numFmtId="0" fontId="2" fillId="2" borderId="19" xfId="0" applyFont="1" applyFill="1" applyBorder="1" applyProtection="1">
      <alignment vertical="center"/>
      <protection locked="0"/>
    </xf>
    <xf numFmtId="0" fontId="2" fillId="2" borderId="7" xfId="0" applyFont="1" applyFill="1" applyBorder="1" applyProtection="1">
      <alignment vertical="center"/>
      <protection locked="0"/>
    </xf>
    <xf numFmtId="0" fontId="2" fillId="2" borderId="15" xfId="0" applyFont="1" applyFill="1" applyBorder="1" applyProtection="1">
      <alignment vertical="center"/>
      <protection locked="0"/>
    </xf>
    <xf numFmtId="0" fontId="2" fillId="2" borderId="10" xfId="0" applyFont="1" applyFill="1" applyBorder="1" applyProtection="1">
      <alignment vertical="center"/>
      <protection locked="0"/>
    </xf>
    <xf numFmtId="0" fontId="2" fillId="2" borderId="14" xfId="0" applyFont="1" applyFill="1" applyBorder="1" applyProtection="1">
      <alignment vertical="center"/>
      <protection locked="0"/>
    </xf>
    <xf numFmtId="0" fontId="2" fillId="2" borderId="20" xfId="0" applyFont="1" applyFill="1" applyBorder="1" applyProtection="1">
      <alignment vertical="center"/>
      <protection locked="0"/>
    </xf>
    <xf numFmtId="179" fontId="2" fillId="0" borderId="10" xfId="0" applyNumberFormat="1" applyFont="1" applyBorder="1" applyProtection="1">
      <alignment vertical="center"/>
      <protection locked="0"/>
    </xf>
    <xf numFmtId="49" fontId="2" fillId="0" borderId="14" xfId="0" applyNumberFormat="1" applyFont="1" applyBorder="1" applyProtection="1">
      <alignment vertical="center"/>
      <protection locked="0"/>
    </xf>
    <xf numFmtId="0" fontId="2" fillId="2" borderId="14" xfId="0" applyFont="1" applyFill="1" applyBorder="1" applyAlignment="1" applyProtection="1">
      <alignment horizontal="left" vertical="center"/>
      <protection locked="0"/>
    </xf>
    <xf numFmtId="179" fontId="2" fillId="0" borderId="14" xfId="0" applyNumberFormat="1" applyFont="1" applyBorder="1" applyAlignment="1" applyProtection="1">
      <alignment horizontal="left" vertical="center"/>
      <protection locked="0"/>
    </xf>
    <xf numFmtId="0" fontId="2" fillId="2" borderId="20" xfId="0" applyFont="1" applyFill="1" applyBorder="1" applyAlignment="1" applyProtection="1">
      <alignment horizontal="left" vertical="center"/>
      <protection locked="0"/>
    </xf>
    <xf numFmtId="0" fontId="2" fillId="2" borderId="10" xfId="0" applyFont="1" applyFill="1" applyBorder="1" applyAlignment="1" applyProtection="1">
      <alignment horizontal="left" vertical="center"/>
      <protection locked="0"/>
    </xf>
    <xf numFmtId="179" fontId="8" fillId="0" borderId="1" xfId="0" applyNumberFormat="1" applyFont="1" applyBorder="1" applyAlignment="1" applyProtection="1">
      <alignment horizontal="left" vertical="center"/>
      <protection locked="0"/>
    </xf>
    <xf numFmtId="179" fontId="12" fillId="0" borderId="1" xfId="0" applyNumberFormat="1" applyFont="1" applyBorder="1" applyAlignment="1" applyProtection="1">
      <alignment horizontal="left" vertical="center" wrapText="1"/>
      <protection locked="0"/>
    </xf>
    <xf numFmtId="179" fontId="2" fillId="3" borderId="1" xfId="0" applyNumberFormat="1" applyFont="1" applyFill="1" applyBorder="1">
      <alignment vertical="center"/>
    </xf>
    <xf numFmtId="179" fontId="2" fillId="3" borderId="14" xfId="0" applyNumberFormat="1" applyFont="1" applyFill="1" applyBorder="1" applyAlignment="1">
      <alignment horizontal="left" vertical="center"/>
    </xf>
    <xf numFmtId="179" fontId="2" fillId="6" borderId="1" xfId="0" applyNumberFormat="1" applyFont="1" applyFill="1" applyBorder="1">
      <alignment vertical="center"/>
    </xf>
    <xf numFmtId="0" fontId="2" fillId="6" borderId="20" xfId="0" applyFont="1" applyFill="1" applyBorder="1">
      <alignment vertical="center"/>
    </xf>
    <xf numFmtId="179" fontId="2" fillId="6" borderId="1" xfId="0" applyNumberFormat="1" applyFont="1" applyFill="1" applyBorder="1" applyAlignment="1">
      <alignment horizontal="left" vertical="center"/>
    </xf>
    <xf numFmtId="176" fontId="2" fillId="3" borderId="14" xfId="0" applyNumberFormat="1" applyFont="1" applyFill="1" applyBorder="1" applyAlignment="1">
      <alignment horizontal="left" vertical="center"/>
    </xf>
    <xf numFmtId="179" fontId="2" fillId="6" borderId="14" xfId="0" applyNumberFormat="1" applyFont="1" applyFill="1" applyBorder="1" applyAlignment="1">
      <alignment horizontal="left" vertical="center"/>
    </xf>
    <xf numFmtId="179" fontId="2" fillId="0" borderId="1" xfId="0" applyNumberFormat="1" applyFont="1" applyBorder="1" applyProtection="1">
      <alignment vertical="center"/>
      <protection locked="0"/>
    </xf>
    <xf numFmtId="179" fontId="2" fillId="2" borderId="18" xfId="0" applyNumberFormat="1" applyFont="1" applyFill="1" applyBorder="1" applyProtection="1">
      <alignment vertical="center"/>
      <protection locked="0"/>
    </xf>
    <xf numFmtId="0" fontId="2" fillId="6" borderId="6" xfId="0" applyFont="1" applyFill="1" applyBorder="1" applyProtection="1">
      <alignment vertical="center"/>
      <protection locked="0"/>
    </xf>
    <xf numFmtId="0" fontId="2" fillId="6" borderId="18" xfId="0" applyFont="1" applyFill="1" applyBorder="1" applyProtection="1">
      <alignment vertical="center"/>
      <protection locked="0"/>
    </xf>
    <xf numFmtId="0" fontId="8" fillId="0" borderId="1" xfId="0" applyFont="1" applyBorder="1" applyProtection="1">
      <alignment vertical="center"/>
      <protection locked="0"/>
    </xf>
    <xf numFmtId="0" fontId="8" fillId="0" borderId="10" xfId="0" applyFont="1" applyBorder="1" applyProtection="1">
      <alignment vertical="center"/>
      <protection locked="0"/>
    </xf>
    <xf numFmtId="0" fontId="8" fillId="0" borderId="14" xfId="0" applyFont="1" applyBorder="1" applyProtection="1">
      <alignment vertical="center"/>
      <protection locked="0"/>
    </xf>
    <xf numFmtId="49" fontId="8" fillId="0" borderId="20" xfId="0" applyNumberFormat="1" applyFont="1" applyBorder="1" applyProtection="1">
      <alignment vertical="center"/>
      <protection locked="0"/>
    </xf>
    <xf numFmtId="0" fontId="2" fillId="6" borderId="1" xfId="0" applyFont="1" applyFill="1" applyBorder="1">
      <alignment vertical="center"/>
    </xf>
    <xf numFmtId="178" fontId="2" fillId="6" borderId="1" xfId="0" applyNumberFormat="1" applyFont="1" applyFill="1" applyBorder="1" applyAlignment="1">
      <alignment horizontal="left" vertical="center"/>
    </xf>
    <xf numFmtId="176" fontId="2" fillId="6" borderId="1" xfId="0" applyNumberFormat="1" applyFont="1" applyFill="1" applyBorder="1" applyAlignment="1">
      <alignment horizontal="left" vertical="center"/>
    </xf>
    <xf numFmtId="0" fontId="2" fillId="0" borderId="10" xfId="0" applyFont="1" applyBorder="1" applyAlignment="1">
      <alignment horizontal="left" vertical="center"/>
    </xf>
    <xf numFmtId="176" fontId="11" fillId="0" borderId="14" xfId="0" applyNumberFormat="1" applyFont="1" applyBorder="1" applyAlignment="1">
      <alignment horizontal="left" vertical="center" shrinkToFit="1"/>
    </xf>
    <xf numFmtId="177" fontId="2" fillId="0" borderId="14" xfId="0" applyNumberFormat="1" applyFont="1" applyBorder="1" applyAlignment="1" applyProtection="1">
      <alignment horizontal="left" vertical="center"/>
      <protection locked="0"/>
    </xf>
    <xf numFmtId="177" fontId="2" fillId="6" borderId="14" xfId="0" applyNumberFormat="1" applyFont="1" applyFill="1" applyBorder="1" applyAlignment="1" applyProtection="1">
      <alignment horizontal="left" vertical="center"/>
      <protection locked="0"/>
    </xf>
    <xf numFmtId="177" fontId="2" fillId="6" borderId="20" xfId="0" applyNumberFormat="1" applyFont="1" applyFill="1" applyBorder="1" applyAlignment="1" applyProtection="1">
      <alignment horizontal="left" vertical="center"/>
      <protection locked="0"/>
    </xf>
    <xf numFmtId="179" fontId="2" fillId="0" borderId="10" xfId="0" applyNumberFormat="1" applyFont="1" applyBorder="1" applyAlignment="1" applyProtection="1">
      <alignment horizontal="left" vertical="center"/>
      <protection locked="0"/>
    </xf>
    <xf numFmtId="179" fontId="2" fillId="0" borderId="20" xfId="0" applyNumberFormat="1" applyFont="1" applyBorder="1" applyAlignment="1" applyProtection="1">
      <alignment horizontal="left" vertical="center"/>
      <protection locked="0"/>
    </xf>
    <xf numFmtId="179" fontId="2" fillId="0" borderId="1" xfId="0" applyNumberFormat="1" applyFont="1" applyBorder="1">
      <alignment vertical="center"/>
    </xf>
    <xf numFmtId="0" fontId="2" fillId="3" borderId="6" xfId="0" applyFont="1" applyFill="1" applyBorder="1" applyProtection="1">
      <alignment vertical="center"/>
      <protection locked="0"/>
    </xf>
    <xf numFmtId="0" fontId="2" fillId="3" borderId="18" xfId="0" applyFont="1" applyFill="1" applyBorder="1" applyProtection="1">
      <alignment vertical="center"/>
      <protection locked="0"/>
    </xf>
    <xf numFmtId="180" fontId="0" fillId="0" borderId="0" xfId="0" applyNumberFormat="1" applyAlignment="1">
      <alignment horizontal="left" vertical="center"/>
    </xf>
    <xf numFmtId="0" fontId="2" fillId="2" borderId="24" xfId="0" applyFont="1" applyFill="1" applyBorder="1" applyProtection="1">
      <alignment vertical="center"/>
      <protection locked="0"/>
    </xf>
    <xf numFmtId="0" fontId="2" fillId="2" borderId="1" xfId="0" applyFont="1" applyFill="1" applyBorder="1" applyProtection="1">
      <alignment vertical="center"/>
      <protection locked="0"/>
    </xf>
    <xf numFmtId="0" fontId="2" fillId="2" borderId="8" xfId="0" applyFont="1" applyFill="1" applyBorder="1" applyProtection="1">
      <alignment vertical="center"/>
      <protection locked="0"/>
    </xf>
    <xf numFmtId="0" fontId="2" fillId="2" borderId="11" xfId="0" applyFont="1" applyFill="1" applyBorder="1" applyProtection="1">
      <alignment vertical="center"/>
      <protection locked="0"/>
    </xf>
    <xf numFmtId="0" fontId="2" fillId="2" borderId="27" xfId="0" applyFont="1" applyFill="1" applyBorder="1" applyProtection="1">
      <alignment vertical="center"/>
      <protection locked="0"/>
    </xf>
    <xf numFmtId="0" fontId="2" fillId="2" borderId="16" xfId="0" applyFont="1" applyFill="1" applyBorder="1" applyProtection="1">
      <alignment vertical="center"/>
      <protection locked="0"/>
    </xf>
    <xf numFmtId="0" fontId="2" fillId="2" borderId="28" xfId="0" applyFont="1" applyFill="1" applyBorder="1" applyProtection="1">
      <alignment vertical="center"/>
      <protection locked="0"/>
    </xf>
    <xf numFmtId="0" fontId="2" fillId="2" borderId="17" xfId="0" applyFont="1" applyFill="1" applyBorder="1" applyProtection="1">
      <alignment vertical="center"/>
      <protection locked="0"/>
    </xf>
    <xf numFmtId="0" fontId="2" fillId="2" borderId="26" xfId="0" applyFont="1" applyFill="1" applyBorder="1" applyProtection="1">
      <alignment vertical="center"/>
      <protection locked="0"/>
    </xf>
    <xf numFmtId="0" fontId="2" fillId="2" borderId="29" xfId="0" applyFont="1" applyFill="1" applyBorder="1" applyProtection="1">
      <alignment vertical="center"/>
      <protection locked="0"/>
    </xf>
    <xf numFmtId="0" fontId="16" fillId="0" borderId="0" xfId="0" applyFont="1" applyProtection="1">
      <alignment vertical="center"/>
      <protection locked="0"/>
    </xf>
    <xf numFmtId="179" fontId="11" fillId="0" borderId="21" xfId="0" applyNumberFormat="1" applyFont="1" applyBorder="1" applyAlignment="1">
      <alignment horizontal="left" vertical="center" shrinkToFit="1"/>
    </xf>
    <xf numFmtId="176" fontId="8" fillId="0" borderId="1" xfId="0" applyNumberFormat="1" applyFont="1" applyBorder="1" applyAlignment="1">
      <alignment horizontal="left" vertical="center"/>
    </xf>
    <xf numFmtId="178" fontId="8" fillId="0" borderId="1" xfId="0" applyNumberFormat="1" applyFont="1" applyBorder="1" applyAlignment="1">
      <alignment horizontal="left" vertical="center"/>
    </xf>
    <xf numFmtId="0" fontId="8" fillId="0" borderId="1" xfId="0" applyFont="1" applyBorder="1" applyAlignment="1">
      <alignment horizontal="left" vertical="center"/>
    </xf>
    <xf numFmtId="0" fontId="2" fillId="2" borderId="11" xfId="0" applyFont="1" applyFill="1" applyBorder="1" applyAlignment="1" applyProtection="1">
      <alignment horizontal="left" vertical="center"/>
      <protection locked="0"/>
    </xf>
    <xf numFmtId="0" fontId="2" fillId="2" borderId="8" xfId="0" applyFont="1" applyFill="1" applyBorder="1" applyAlignment="1" applyProtection="1">
      <alignment horizontal="left" vertical="center"/>
      <protection locked="0"/>
    </xf>
    <xf numFmtId="0" fontId="2" fillId="2" borderId="30" xfId="0" applyFont="1" applyFill="1" applyBorder="1" applyProtection="1">
      <alignment vertical="center"/>
      <protection locked="0"/>
    </xf>
    <xf numFmtId="0" fontId="2" fillId="2" borderId="21" xfId="0" applyFont="1" applyFill="1" applyBorder="1" applyProtection="1">
      <alignment vertical="center"/>
      <protection locked="0"/>
    </xf>
    <xf numFmtId="0" fontId="2" fillId="2" borderId="0" xfId="0" applyFont="1" applyFill="1" applyProtection="1">
      <alignment vertical="center"/>
      <protection locked="0"/>
    </xf>
    <xf numFmtId="0" fontId="2" fillId="2" borderId="5"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xf numFmtId="0" fontId="4" fillId="5" borderId="26" xfId="0" applyFont="1" applyFill="1" applyBorder="1" applyAlignment="1">
      <alignment vertical="top"/>
    </xf>
    <xf numFmtId="0" fontId="4" fillId="5" borderId="27" xfId="0" applyFont="1" applyFill="1" applyBorder="1" applyAlignment="1">
      <alignment vertical="top"/>
    </xf>
    <xf numFmtId="0" fontId="4" fillId="5" borderId="28" xfId="0" applyFont="1" applyFill="1" applyBorder="1" applyAlignment="1">
      <alignment vertical="top"/>
    </xf>
    <xf numFmtId="0" fontId="4" fillId="5" borderId="30" xfId="0" applyFont="1" applyFill="1" applyBorder="1" applyAlignment="1">
      <alignment vertical="top"/>
    </xf>
    <xf numFmtId="179" fontId="11" fillId="0" borderId="19" xfId="0" applyNumberFormat="1" applyFont="1" applyBorder="1" applyAlignment="1">
      <alignment horizontal="left" vertical="center" shrinkToFit="1"/>
    </xf>
    <xf numFmtId="0" fontId="8" fillId="0" borderId="19" xfId="0" applyFont="1" applyBorder="1" applyAlignment="1">
      <alignment horizontal="left" vertical="center" shrinkToFit="1"/>
    </xf>
    <xf numFmtId="179" fontId="8" fillId="0" borderId="20" xfId="0" applyNumberFormat="1" applyFont="1" applyBorder="1" applyAlignment="1">
      <alignment horizontal="left" vertical="center" shrinkToFit="1"/>
    </xf>
    <xf numFmtId="0" fontId="8" fillId="0" borderId="6" xfId="0" applyFont="1" applyBorder="1">
      <alignment vertical="center"/>
    </xf>
    <xf numFmtId="0" fontId="8" fillId="0" borderId="18" xfId="0" applyFont="1" applyBorder="1">
      <alignment vertical="center"/>
    </xf>
    <xf numFmtId="0" fontId="8" fillId="0" borderId="4" xfId="0" applyFont="1" applyBorder="1">
      <alignment vertical="center"/>
    </xf>
    <xf numFmtId="0" fontId="2" fillId="0" borderId="29" xfId="0" applyFont="1" applyBorder="1" applyProtection="1">
      <alignment vertical="center"/>
      <protection locked="0"/>
    </xf>
    <xf numFmtId="0" fontId="0" fillId="2" borderId="26" xfId="0" applyFill="1" applyBorder="1">
      <alignment vertical="center"/>
    </xf>
    <xf numFmtId="0" fontId="0" fillId="2" borderId="27" xfId="0" applyFill="1" applyBorder="1">
      <alignment vertical="center"/>
    </xf>
    <xf numFmtId="0" fontId="2" fillId="2" borderId="44" xfId="0" applyFont="1" applyFill="1" applyBorder="1" applyProtection="1">
      <alignment vertical="center"/>
      <protection locked="0"/>
    </xf>
    <xf numFmtId="0" fontId="0" fillId="2" borderId="45" xfId="0" applyFill="1" applyBorder="1">
      <alignment vertical="center"/>
    </xf>
    <xf numFmtId="0" fontId="0" fillId="2" borderId="28" xfId="0" applyFill="1" applyBorder="1">
      <alignment vertical="center"/>
    </xf>
    <xf numFmtId="0" fontId="2" fillId="2" borderId="35" xfId="0" applyFont="1" applyFill="1" applyBorder="1" applyProtection="1">
      <alignment vertical="center"/>
      <protection locked="0"/>
    </xf>
    <xf numFmtId="0" fontId="2" fillId="2" borderId="36" xfId="0" applyFont="1" applyFill="1" applyBorder="1" applyProtection="1">
      <alignment vertical="center"/>
      <protection locked="0"/>
    </xf>
    <xf numFmtId="0" fontId="2" fillId="2" borderId="37" xfId="0" applyFont="1" applyFill="1" applyBorder="1" applyProtection="1">
      <alignment vertical="center"/>
      <protection locked="0"/>
    </xf>
    <xf numFmtId="0" fontId="2" fillId="2" borderId="39" xfId="0" applyFont="1" applyFill="1" applyBorder="1" applyProtection="1">
      <alignment vertical="center"/>
      <protection locked="0"/>
    </xf>
    <xf numFmtId="0" fontId="0" fillId="2" borderId="4" xfId="0" applyFill="1" applyBorder="1">
      <alignment vertical="center"/>
    </xf>
    <xf numFmtId="0" fontId="2" fillId="2" borderId="40" xfId="0" applyFont="1" applyFill="1" applyBorder="1" applyProtection="1">
      <alignment vertical="center"/>
      <protection locked="0"/>
    </xf>
    <xf numFmtId="0" fontId="2" fillId="2" borderId="41" xfId="0" applyFont="1" applyFill="1" applyBorder="1" applyProtection="1">
      <alignment vertical="center"/>
      <protection locked="0"/>
    </xf>
    <xf numFmtId="0" fontId="2" fillId="2" borderId="42" xfId="0" applyFont="1" applyFill="1" applyBorder="1" applyProtection="1">
      <alignment vertical="center"/>
      <protection locked="0"/>
    </xf>
    <xf numFmtId="0" fontId="2" fillId="2" borderId="43" xfId="0" applyFont="1" applyFill="1" applyBorder="1" applyProtection="1">
      <alignment vertical="center"/>
      <protection locked="0"/>
    </xf>
    <xf numFmtId="0" fontId="12" fillId="3" borderId="0" xfId="0" applyFont="1" applyFill="1" applyProtection="1">
      <alignment vertical="center"/>
      <protection locked="0"/>
    </xf>
    <xf numFmtId="0" fontId="12" fillId="3" borderId="0" xfId="0" applyFont="1" applyFill="1" applyAlignment="1" applyProtection="1">
      <alignment horizontal="center" vertical="center"/>
      <protection locked="0"/>
    </xf>
    <xf numFmtId="0" fontId="2" fillId="2" borderId="25" xfId="0" applyFont="1" applyFill="1" applyBorder="1" applyProtection="1">
      <alignment vertical="center"/>
      <protection locked="0"/>
    </xf>
    <xf numFmtId="179" fontId="11" fillId="0" borderId="20" xfId="0" applyNumberFormat="1" applyFont="1" applyBorder="1" applyAlignment="1">
      <alignment horizontal="left" vertical="center" shrinkToFit="1"/>
    </xf>
    <xf numFmtId="0" fontId="2" fillId="5" borderId="18" xfId="0" applyFont="1" applyFill="1" applyBorder="1" applyAlignment="1">
      <alignment horizontal="left" vertical="top"/>
    </xf>
    <xf numFmtId="181" fontId="8" fillId="0" borderId="1" xfId="0" applyNumberFormat="1" applyFont="1" applyBorder="1" applyAlignment="1">
      <alignment horizontal="left" vertical="center"/>
    </xf>
    <xf numFmtId="0" fontId="2" fillId="9" borderId="6" xfId="0" applyFont="1" applyFill="1" applyBorder="1" applyProtection="1">
      <alignment vertical="center"/>
      <protection locked="0"/>
    </xf>
    <xf numFmtId="0" fontId="2" fillId="9" borderId="4" xfId="0" applyFont="1" applyFill="1" applyBorder="1" applyProtection="1">
      <alignment vertical="center"/>
      <protection locked="0"/>
    </xf>
    <xf numFmtId="0" fontId="2" fillId="9" borderId="18" xfId="0" applyFont="1" applyFill="1" applyBorder="1" applyProtection="1">
      <alignment vertical="center"/>
      <protection locked="0"/>
    </xf>
    <xf numFmtId="0" fontId="2" fillId="3" borderId="4" xfId="0" applyFont="1" applyFill="1" applyBorder="1" applyProtection="1">
      <alignment vertical="center"/>
      <protection locked="0"/>
    </xf>
    <xf numFmtId="0" fontId="2" fillId="7" borderId="6" xfId="0" applyFont="1" applyFill="1" applyBorder="1" applyProtection="1">
      <alignment vertical="center"/>
      <protection locked="0"/>
    </xf>
    <xf numFmtId="0" fontId="2" fillId="7" borderId="4" xfId="0" applyFont="1" applyFill="1" applyBorder="1" applyProtection="1">
      <alignment vertical="center"/>
      <protection locked="0"/>
    </xf>
    <xf numFmtId="0" fontId="2" fillId="7" borderId="18" xfId="0" applyFont="1" applyFill="1" applyBorder="1" applyProtection="1">
      <alignment vertical="center"/>
      <protection locked="0"/>
    </xf>
    <xf numFmtId="0" fontId="2" fillId="2" borderId="18" xfId="0" applyFont="1" applyFill="1" applyBorder="1" applyAlignment="1" applyProtection="1">
      <alignment horizontal="left" vertical="center"/>
      <protection locked="0"/>
    </xf>
    <xf numFmtId="0" fontId="2" fillId="2" borderId="1" xfId="0" applyFont="1" applyFill="1" applyBorder="1" applyAlignment="1" applyProtection="1">
      <alignment horizontal="left" vertical="center"/>
      <protection locked="0"/>
    </xf>
    <xf numFmtId="0" fontId="8" fillId="0" borderId="0" xfId="0" applyFont="1" applyAlignment="1">
      <alignment horizontal="left" vertical="center"/>
    </xf>
    <xf numFmtId="0" fontId="2" fillId="7" borderId="10" xfId="0" applyFont="1" applyFill="1" applyBorder="1" applyAlignment="1" applyProtection="1">
      <alignment horizontal="left" vertical="center"/>
      <protection locked="0"/>
    </xf>
    <xf numFmtId="0" fontId="2" fillId="7" borderId="23" xfId="0" applyFont="1" applyFill="1" applyBorder="1" applyAlignment="1" applyProtection="1">
      <alignment horizontal="left" vertical="center"/>
      <protection locked="0"/>
    </xf>
    <xf numFmtId="179" fontId="2" fillId="2" borderId="25" xfId="0" applyNumberFormat="1" applyFont="1" applyFill="1" applyBorder="1" applyAlignment="1" applyProtection="1">
      <alignment horizontal="left" vertical="center"/>
      <protection locked="0"/>
    </xf>
    <xf numFmtId="179" fontId="2" fillId="2" borderId="18" xfId="0" applyNumberFormat="1" applyFont="1" applyFill="1" applyBorder="1" applyAlignment="1" applyProtection="1">
      <alignment horizontal="left" vertical="center"/>
      <protection locked="0"/>
    </xf>
    <xf numFmtId="0" fontId="2" fillId="2" borderId="9" xfId="0" applyFont="1" applyFill="1" applyBorder="1" applyProtection="1">
      <alignment vertical="center"/>
      <protection locked="0"/>
    </xf>
    <xf numFmtId="0" fontId="2" fillId="3" borderId="48" xfId="0" applyFont="1" applyFill="1" applyBorder="1" applyAlignment="1">
      <alignment horizontal="left" vertical="center"/>
    </xf>
    <xf numFmtId="176" fontId="2" fillId="9" borderId="49" xfId="0" applyNumberFormat="1" applyFont="1" applyFill="1" applyBorder="1" applyAlignment="1">
      <alignment horizontal="left" vertical="center"/>
    </xf>
    <xf numFmtId="179" fontId="2" fillId="9" borderId="49" xfId="0" applyNumberFormat="1" applyFont="1" applyFill="1" applyBorder="1" applyAlignment="1" applyProtection="1">
      <alignment horizontal="left" vertical="center"/>
      <protection locked="0"/>
    </xf>
    <xf numFmtId="177" fontId="2" fillId="9" borderId="50" xfId="0" applyNumberFormat="1" applyFont="1" applyFill="1" applyBorder="1" applyAlignment="1" applyProtection="1">
      <alignment horizontal="left" vertical="center"/>
      <protection locked="0"/>
    </xf>
    <xf numFmtId="0" fontId="2" fillId="2" borderId="38" xfId="0" applyFont="1" applyFill="1" applyBorder="1" applyAlignment="1" applyProtection="1">
      <alignment horizontal="left" vertical="center"/>
      <protection locked="0"/>
    </xf>
    <xf numFmtId="0" fontId="7" fillId="0" borderId="0" xfId="0" applyFont="1" applyAlignment="1" applyProtection="1">
      <alignment horizontal="left" vertical="center"/>
      <protection locked="0"/>
    </xf>
    <xf numFmtId="0" fontId="2" fillId="9" borderId="47" xfId="0" applyFont="1" applyFill="1" applyBorder="1" applyAlignment="1" applyProtection="1">
      <alignment horizontal="left" vertical="center"/>
      <protection locked="0"/>
    </xf>
    <xf numFmtId="0" fontId="2" fillId="7" borderId="47" xfId="0" applyFont="1" applyFill="1" applyBorder="1" applyAlignment="1" applyProtection="1">
      <alignment horizontal="left" vertical="center"/>
      <protection locked="0"/>
    </xf>
    <xf numFmtId="0" fontId="2" fillId="3" borderId="47" xfId="0" applyFont="1" applyFill="1" applyBorder="1" applyAlignment="1">
      <alignment horizontal="left" vertical="center"/>
    </xf>
    <xf numFmtId="0" fontId="2" fillId="3" borderId="47" xfId="0" applyFont="1" applyFill="1" applyBorder="1" applyAlignment="1" applyProtection="1">
      <alignment horizontal="left" vertical="center"/>
      <protection locked="0"/>
    </xf>
    <xf numFmtId="178" fontId="2" fillId="9" borderId="47" xfId="0" applyNumberFormat="1" applyFont="1" applyFill="1" applyBorder="1" applyAlignment="1">
      <alignment horizontal="left" vertical="center"/>
    </xf>
    <xf numFmtId="181" fontId="2" fillId="9" borderId="47" xfId="0" applyNumberFormat="1" applyFont="1" applyFill="1" applyBorder="1" applyAlignment="1">
      <alignment horizontal="left" vertical="center"/>
    </xf>
    <xf numFmtId="0" fontId="2" fillId="9" borderId="48" xfId="0" applyFont="1" applyFill="1" applyBorder="1" applyAlignment="1" applyProtection="1">
      <alignment horizontal="left" vertical="center"/>
      <protection locked="0"/>
    </xf>
    <xf numFmtId="0" fontId="2" fillId="7" borderId="49" xfId="0" applyFont="1" applyFill="1" applyBorder="1" applyAlignment="1" applyProtection="1">
      <alignment horizontal="left" vertical="center"/>
      <protection locked="0"/>
    </xf>
    <xf numFmtId="0" fontId="2" fillId="3" borderId="49" xfId="0" applyFont="1" applyFill="1" applyBorder="1" applyAlignment="1" applyProtection="1">
      <alignment horizontal="left" vertical="center"/>
      <protection locked="0"/>
    </xf>
    <xf numFmtId="49" fontId="4" fillId="9" borderId="50" xfId="0" applyNumberFormat="1" applyFont="1" applyFill="1" applyBorder="1" applyAlignment="1" applyProtection="1">
      <alignment horizontal="left" vertical="center"/>
      <protection locked="0"/>
    </xf>
    <xf numFmtId="0" fontId="2" fillId="9" borderId="50"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2" fillId="0" borderId="29" xfId="0" applyFont="1" applyBorder="1" applyAlignment="1" applyProtection="1">
      <alignment horizontal="left" vertical="center"/>
      <protection locked="0"/>
    </xf>
    <xf numFmtId="179" fontId="2" fillId="3" borderId="1" xfId="0" applyNumberFormat="1" applyFont="1" applyFill="1" applyBorder="1" applyAlignment="1" applyProtection="1">
      <alignment horizontal="left" vertical="center"/>
      <protection locked="0"/>
    </xf>
    <xf numFmtId="179" fontId="2" fillId="7" borderId="1" xfId="0" applyNumberFormat="1" applyFont="1" applyFill="1" applyBorder="1" applyAlignment="1">
      <alignment horizontal="left" vertical="center"/>
    </xf>
    <xf numFmtId="0" fontId="2" fillId="7" borderId="1" xfId="0" applyFont="1" applyFill="1" applyBorder="1" applyAlignment="1" applyProtection="1">
      <alignment horizontal="left" vertical="center"/>
      <protection locked="0"/>
    </xf>
    <xf numFmtId="0" fontId="2" fillId="7" borderId="1" xfId="0" applyFont="1" applyFill="1" applyBorder="1" applyAlignment="1">
      <alignment horizontal="left" vertical="center"/>
    </xf>
    <xf numFmtId="0" fontId="2" fillId="3" borderId="1" xfId="0" applyFont="1" applyFill="1" applyBorder="1" applyAlignment="1">
      <alignment horizontal="left" vertical="center"/>
    </xf>
    <xf numFmtId="178" fontId="2" fillId="7" borderId="1" xfId="0" applyNumberFormat="1" applyFont="1" applyFill="1" applyBorder="1" applyAlignment="1">
      <alignment horizontal="left" vertical="center"/>
    </xf>
    <xf numFmtId="181" fontId="2" fillId="7" borderId="1" xfId="0" applyNumberFormat="1" applyFont="1" applyFill="1" applyBorder="1" applyAlignment="1">
      <alignment horizontal="left" vertical="center"/>
    </xf>
    <xf numFmtId="179" fontId="2" fillId="9" borderId="1" xfId="0" applyNumberFormat="1" applyFont="1" applyFill="1" applyBorder="1" applyAlignment="1">
      <alignment horizontal="left" vertical="center"/>
    </xf>
    <xf numFmtId="179" fontId="2" fillId="7" borderId="1" xfId="0" applyNumberFormat="1" applyFont="1" applyFill="1" applyBorder="1" applyAlignment="1" applyProtection="1">
      <alignment horizontal="left" vertical="center"/>
      <protection locked="0"/>
    </xf>
    <xf numFmtId="0" fontId="2" fillId="7" borderId="10" xfId="0" applyFont="1" applyFill="1" applyBorder="1" applyAlignment="1">
      <alignment horizontal="left" vertical="center"/>
    </xf>
    <xf numFmtId="179" fontId="2" fillId="7" borderId="14" xfId="0" applyNumberFormat="1" applyFont="1" applyFill="1" applyBorder="1" applyAlignment="1">
      <alignment horizontal="left" vertical="center"/>
    </xf>
    <xf numFmtId="176" fontId="2" fillId="7" borderId="14" xfId="0" applyNumberFormat="1" applyFont="1" applyFill="1" applyBorder="1" applyAlignment="1">
      <alignment horizontal="left" vertical="center"/>
    </xf>
    <xf numFmtId="179" fontId="2" fillId="7" borderId="14" xfId="0" applyNumberFormat="1" applyFont="1" applyFill="1" applyBorder="1" applyAlignment="1" applyProtection="1">
      <alignment horizontal="left" vertical="center"/>
      <protection locked="0"/>
    </xf>
    <xf numFmtId="177" fontId="2" fillId="7" borderId="14" xfId="0" applyNumberFormat="1" applyFont="1" applyFill="1" applyBorder="1" applyAlignment="1" applyProtection="1">
      <alignment horizontal="left" vertical="center"/>
      <protection locked="0"/>
    </xf>
    <xf numFmtId="0" fontId="2" fillId="2" borderId="51" xfId="0" applyFont="1" applyFill="1" applyBorder="1" applyProtection="1">
      <alignment vertical="center"/>
      <protection locked="0"/>
    </xf>
    <xf numFmtId="0" fontId="2" fillId="2" borderId="52" xfId="0" applyFont="1" applyFill="1" applyBorder="1" applyProtection="1">
      <alignment vertical="center"/>
      <protection locked="0"/>
    </xf>
    <xf numFmtId="0" fontId="2" fillId="2" borderId="3" xfId="0" applyFont="1" applyFill="1" applyBorder="1" applyProtection="1">
      <alignment vertical="center"/>
      <protection locked="0"/>
    </xf>
    <xf numFmtId="0" fontId="2" fillId="2" borderId="31" xfId="0" applyFont="1" applyFill="1" applyBorder="1" applyProtection="1">
      <alignment vertical="center"/>
      <protection locked="0"/>
    </xf>
    <xf numFmtId="0" fontId="2" fillId="9" borderId="20" xfId="0" applyFont="1" applyFill="1" applyBorder="1" applyAlignment="1">
      <alignment horizontal="left" vertical="center"/>
    </xf>
    <xf numFmtId="0" fontId="2" fillId="9" borderId="10" xfId="0" applyFont="1" applyFill="1" applyBorder="1" applyAlignment="1">
      <alignment horizontal="left" vertical="center"/>
    </xf>
    <xf numFmtId="0" fontId="2" fillId="9" borderId="13" xfId="0" applyFont="1" applyFill="1" applyBorder="1" applyAlignment="1">
      <alignment horizontal="left" vertical="center"/>
    </xf>
    <xf numFmtId="0" fontId="2" fillId="2" borderId="25" xfId="0" applyFont="1" applyFill="1" applyBorder="1" applyAlignment="1" applyProtection="1">
      <alignment horizontal="left" vertical="center"/>
      <protection locked="0"/>
    </xf>
    <xf numFmtId="179" fontId="2" fillId="3" borderId="10" xfId="0" applyNumberFormat="1" applyFont="1" applyFill="1" applyBorder="1" applyAlignment="1" applyProtection="1">
      <alignment horizontal="left" vertical="center"/>
      <protection locked="0"/>
    </xf>
    <xf numFmtId="49" fontId="2" fillId="9" borderId="14" xfId="0" applyNumberFormat="1" applyFont="1" applyFill="1" applyBorder="1" applyAlignment="1" applyProtection="1">
      <alignment horizontal="left" vertical="center"/>
      <protection locked="0"/>
    </xf>
    <xf numFmtId="0" fontId="2" fillId="7" borderId="20" xfId="0" applyFont="1" applyFill="1" applyBorder="1" applyAlignment="1">
      <alignment horizontal="left" vertical="center"/>
    </xf>
    <xf numFmtId="179" fontId="8" fillId="7" borderId="1" xfId="0" applyNumberFormat="1" applyFont="1" applyFill="1" applyBorder="1" applyAlignment="1" applyProtection="1">
      <alignment horizontal="left" vertical="center"/>
      <protection locked="0"/>
    </xf>
    <xf numFmtId="179" fontId="2" fillId="9" borderId="1" xfId="0" applyNumberFormat="1" applyFont="1" applyFill="1" applyBorder="1" applyAlignment="1" applyProtection="1">
      <alignment horizontal="left" vertical="center"/>
      <protection locked="0"/>
    </xf>
    <xf numFmtId="179" fontId="2" fillId="9" borderId="10" xfId="0" applyNumberFormat="1" applyFont="1" applyFill="1" applyBorder="1" applyAlignment="1" applyProtection="1">
      <alignment horizontal="left" vertical="center"/>
      <protection locked="0"/>
    </xf>
    <xf numFmtId="0" fontId="2" fillId="9" borderId="14" xfId="0" applyFont="1" applyFill="1" applyBorder="1" applyAlignment="1">
      <alignment horizontal="left" vertical="center"/>
    </xf>
    <xf numFmtId="0" fontId="2" fillId="2" borderId="1" xfId="0" applyFont="1" applyFill="1" applyBorder="1" applyAlignment="1" applyProtection="1">
      <alignment horizontal="center" vertical="center"/>
      <protection locked="0"/>
    </xf>
    <xf numFmtId="179" fontId="2" fillId="9" borderId="20" xfId="0" applyNumberFormat="1" applyFont="1" applyFill="1" applyBorder="1" applyAlignment="1" applyProtection="1">
      <alignment horizontal="left" vertical="center"/>
      <protection locked="0"/>
    </xf>
    <xf numFmtId="0" fontId="2" fillId="2" borderId="46" xfId="0" applyFont="1" applyFill="1" applyBorder="1" applyAlignment="1" applyProtection="1">
      <alignment horizontal="center" vertical="center"/>
      <protection locked="0"/>
    </xf>
    <xf numFmtId="179" fontId="2" fillId="7" borderId="19" xfId="0" applyNumberFormat="1" applyFont="1" applyFill="1" applyBorder="1" applyAlignment="1">
      <alignment horizontal="left" vertical="center"/>
    </xf>
    <xf numFmtId="0" fontId="4" fillId="5" borderId="21" xfId="0" applyFont="1" applyFill="1" applyBorder="1" applyAlignment="1">
      <alignment vertical="top"/>
    </xf>
    <xf numFmtId="49" fontId="2" fillId="9" borderId="10" xfId="0" applyNumberFormat="1" applyFont="1" applyFill="1" applyBorder="1" applyAlignment="1" applyProtection="1">
      <alignment horizontal="left" vertical="center"/>
      <protection locked="0"/>
    </xf>
    <xf numFmtId="0" fontId="2" fillId="2" borderId="22" xfId="0" applyFont="1" applyFill="1" applyBorder="1" applyAlignment="1" applyProtection="1">
      <alignment horizontal="left" vertical="center"/>
      <protection locked="0"/>
    </xf>
    <xf numFmtId="179" fontId="2" fillId="7" borderId="20" xfId="0" applyNumberFormat="1" applyFont="1" applyFill="1" applyBorder="1" applyAlignment="1">
      <alignment horizontal="left" vertical="center"/>
    </xf>
    <xf numFmtId="179" fontId="2" fillId="7" borderId="19" xfId="0" applyNumberFormat="1" applyFont="1" applyFill="1" applyBorder="1" applyAlignment="1" applyProtection="1">
      <alignment horizontal="left" vertical="center"/>
      <protection locked="0"/>
    </xf>
    <xf numFmtId="0" fontId="2" fillId="2" borderId="18" xfId="0" applyFont="1" applyFill="1" applyBorder="1" applyAlignment="1" applyProtection="1">
      <alignment horizontal="center" vertical="center"/>
      <protection locked="0"/>
    </xf>
    <xf numFmtId="0" fontId="2" fillId="7" borderId="14" xfId="0" applyFont="1" applyFill="1" applyBorder="1" applyAlignment="1" applyProtection="1">
      <alignment horizontal="left" vertical="center" wrapText="1"/>
      <protection locked="0"/>
    </xf>
    <xf numFmtId="0" fontId="2" fillId="7" borderId="20" xfId="0" applyFont="1" applyFill="1" applyBorder="1" applyAlignment="1" applyProtection="1">
      <alignment horizontal="left" vertical="center" wrapText="1"/>
      <protection locked="0"/>
    </xf>
    <xf numFmtId="0" fontId="2" fillId="7" borderId="10" xfId="0" applyFont="1" applyFill="1" applyBorder="1" applyAlignment="1" applyProtection="1">
      <alignment horizontal="left" vertical="center" wrapText="1"/>
      <protection locked="0"/>
    </xf>
    <xf numFmtId="0" fontId="2" fillId="2" borderId="53" xfId="0" applyFont="1" applyFill="1" applyBorder="1" applyProtection="1">
      <alignment vertical="center"/>
      <protection locked="0"/>
    </xf>
    <xf numFmtId="0" fontId="2" fillId="2" borderId="12" xfId="0" applyFont="1" applyFill="1" applyBorder="1" applyProtection="1">
      <alignment vertical="center"/>
      <protection locked="0"/>
    </xf>
    <xf numFmtId="0" fontId="2" fillId="7" borderId="14" xfId="0" applyFont="1" applyFill="1" applyBorder="1" applyAlignment="1" applyProtection="1">
      <alignment horizontal="left" vertical="center"/>
      <protection locked="0"/>
    </xf>
    <xf numFmtId="0" fontId="2" fillId="7" borderId="31" xfId="0" applyFont="1" applyFill="1" applyBorder="1" applyAlignment="1">
      <alignment horizontal="left" vertical="center"/>
    </xf>
    <xf numFmtId="0" fontId="2" fillId="7" borderId="14" xfId="0" applyFont="1" applyFill="1" applyBorder="1" applyAlignment="1">
      <alignment horizontal="left" vertical="center"/>
    </xf>
    <xf numFmtId="0" fontId="2" fillId="9" borderId="7" xfId="0" applyFont="1" applyFill="1" applyBorder="1" applyAlignment="1">
      <alignment horizontal="left" vertical="center"/>
    </xf>
    <xf numFmtId="0" fontId="2" fillId="2" borderId="7" xfId="0" applyFont="1" applyFill="1" applyBorder="1" applyAlignment="1" applyProtection="1">
      <alignment horizontal="left" vertical="center"/>
      <protection locked="0"/>
    </xf>
    <xf numFmtId="0" fontId="2" fillId="2" borderId="15" xfId="0" applyFont="1" applyFill="1" applyBorder="1" applyAlignment="1" applyProtection="1">
      <alignment horizontal="left" vertical="center"/>
      <protection locked="0"/>
    </xf>
    <xf numFmtId="179" fontId="8" fillId="7" borderId="1" xfId="0" quotePrefix="1" applyNumberFormat="1" applyFont="1" applyFill="1" applyBorder="1" applyAlignment="1" applyProtection="1">
      <alignment horizontal="left" vertical="center"/>
      <protection locked="0"/>
    </xf>
    <xf numFmtId="0" fontId="11" fillId="5" borderId="6" xfId="0" applyFont="1" applyFill="1" applyBorder="1" applyAlignment="1">
      <alignment horizontal="left" vertical="center"/>
    </xf>
    <xf numFmtId="0" fontId="11" fillId="5" borderId="4" xfId="0" applyFont="1" applyFill="1" applyBorder="1" applyAlignment="1">
      <alignment horizontal="left" vertical="center"/>
    </xf>
    <xf numFmtId="0" fontId="11" fillId="5" borderId="1" xfId="0" applyFont="1" applyFill="1" applyBorder="1" applyAlignment="1">
      <alignment horizontal="center" vertical="center" wrapText="1"/>
    </xf>
    <xf numFmtId="0" fontId="11" fillId="5" borderId="5" xfId="0" applyFont="1" applyFill="1" applyBorder="1" applyAlignment="1">
      <alignment horizontal="left" vertical="center"/>
    </xf>
    <xf numFmtId="0" fontId="11" fillId="5" borderId="7" xfId="0" applyFont="1" applyFill="1" applyBorder="1" applyAlignment="1">
      <alignment horizontal="left" vertical="center"/>
    </xf>
    <xf numFmtId="0" fontId="11" fillId="5" borderId="18" xfId="0" applyFont="1" applyFill="1" applyBorder="1" applyAlignment="1">
      <alignment horizontal="left" vertical="center"/>
    </xf>
    <xf numFmtId="0" fontId="11" fillId="0" borderId="1" xfId="0" applyFont="1" applyBorder="1" applyAlignment="1">
      <alignment horizontal="left" vertical="center" wrapText="1"/>
    </xf>
    <xf numFmtId="0" fontId="8" fillId="0" borderId="1" xfId="0" applyFont="1" applyBorder="1" applyAlignment="1">
      <alignment horizontal="left" vertical="center" wrapText="1"/>
    </xf>
    <xf numFmtId="14" fontId="8" fillId="0" borderId="1" xfId="0" quotePrefix="1" applyNumberFormat="1" applyFont="1" applyBorder="1" applyAlignment="1">
      <alignment horizontal="left" vertical="center" wrapText="1"/>
    </xf>
    <xf numFmtId="0" fontId="8" fillId="5" borderId="4" xfId="0" applyFont="1" applyFill="1" applyBorder="1" applyAlignment="1">
      <alignment horizontal="left" vertical="center" wrapText="1"/>
    </xf>
    <xf numFmtId="0" fontId="11" fillId="5" borderId="15" xfId="0" applyFont="1" applyFill="1" applyBorder="1" applyAlignment="1">
      <alignment horizontal="left" vertical="center"/>
    </xf>
    <xf numFmtId="0" fontId="11" fillId="0" borderId="1" xfId="0" applyFont="1" applyBorder="1" applyAlignment="1">
      <alignment vertical="center" shrinkToFit="1"/>
    </xf>
    <xf numFmtId="0" fontId="8" fillId="0" borderId="1" xfId="0" applyFont="1" applyBorder="1" applyAlignment="1">
      <alignment vertical="center" shrinkToFit="1"/>
    </xf>
    <xf numFmtId="0" fontId="8" fillId="0" borderId="1" xfId="0" applyFont="1" applyBorder="1">
      <alignment vertical="center"/>
    </xf>
    <xf numFmtId="0" fontId="8" fillId="5" borderId="18" xfId="0" applyFont="1" applyFill="1" applyBorder="1" applyAlignment="1">
      <alignment horizontal="left" vertical="center" wrapText="1"/>
    </xf>
    <xf numFmtId="0" fontId="4" fillId="5" borderId="22" xfId="0" applyFont="1" applyFill="1" applyBorder="1" applyAlignment="1">
      <alignment vertical="top"/>
    </xf>
    <xf numFmtId="0" fontId="0" fillId="0" borderId="0" xfId="0" quotePrefix="1">
      <alignment vertical="center"/>
    </xf>
    <xf numFmtId="0" fontId="0" fillId="11" borderId="54" xfId="0" applyFill="1" applyBorder="1">
      <alignment vertical="center"/>
    </xf>
    <xf numFmtId="0" fontId="20" fillId="10" borderId="55" xfId="0" applyFont="1" applyFill="1" applyBorder="1">
      <alignment vertical="center"/>
    </xf>
    <xf numFmtId="0" fontId="21" fillId="10" borderId="55" xfId="0" applyFont="1" applyFill="1" applyBorder="1">
      <alignment vertical="center"/>
    </xf>
    <xf numFmtId="0" fontId="0" fillId="0" borderId="56" xfId="0" applyBorder="1">
      <alignment vertical="center"/>
    </xf>
    <xf numFmtId="0" fontId="5" fillId="0" borderId="56" xfId="0" applyFont="1" applyBorder="1">
      <alignment vertical="center"/>
    </xf>
    <xf numFmtId="49" fontId="2" fillId="9" borderId="47" xfId="0" applyNumberFormat="1" applyFont="1" applyFill="1" applyBorder="1" applyAlignment="1" applyProtection="1">
      <alignment horizontal="left" vertical="center" wrapText="1"/>
      <protection locked="0"/>
    </xf>
    <xf numFmtId="0" fontId="4" fillId="9" borderId="20" xfId="0" applyFont="1" applyFill="1" applyBorder="1" applyAlignment="1">
      <alignment horizontal="left" vertical="center"/>
    </xf>
    <xf numFmtId="0" fontId="8" fillId="3" borderId="1" xfId="0" applyFont="1" applyFill="1" applyBorder="1" applyAlignment="1">
      <alignment horizontal="left" vertical="center"/>
    </xf>
    <xf numFmtId="0" fontId="12" fillId="3" borderId="47" xfId="0" applyFont="1" applyFill="1" applyBorder="1" applyAlignment="1" applyProtection="1">
      <alignment horizontal="left" vertical="center" wrapText="1"/>
      <protection locked="0"/>
    </xf>
    <xf numFmtId="49" fontId="2" fillId="7" borderId="1" xfId="0" applyNumberFormat="1" applyFont="1" applyFill="1" applyBorder="1" applyAlignment="1">
      <alignment horizontal="left" vertical="center"/>
    </xf>
    <xf numFmtId="0" fontId="22" fillId="0" borderId="0" xfId="0" applyFont="1" applyProtection="1">
      <alignment vertical="center"/>
      <protection locked="0"/>
    </xf>
    <xf numFmtId="0" fontId="23" fillId="0" borderId="0" xfId="0" applyFont="1" applyAlignment="1" applyProtection="1">
      <alignment horizontal="left" vertical="center"/>
      <protection locked="0"/>
    </xf>
    <xf numFmtId="0" fontId="23" fillId="0" borderId="0" xfId="0" applyFont="1" applyProtection="1">
      <alignment vertical="center"/>
      <protection locked="0"/>
    </xf>
    <xf numFmtId="0" fontId="24" fillId="0" borderId="0" xfId="1" applyFont="1">
      <alignment vertical="center"/>
    </xf>
    <xf numFmtId="0" fontId="23" fillId="0" borderId="0" xfId="1" applyFont="1">
      <alignment vertical="center"/>
    </xf>
    <xf numFmtId="0" fontId="24" fillId="8" borderId="32" xfId="1" applyFont="1" applyFill="1" applyBorder="1" applyAlignment="1">
      <alignment horizontal="center" vertical="center" wrapText="1"/>
    </xf>
    <xf numFmtId="0" fontId="24" fillId="8" borderId="33" xfId="1" applyFont="1" applyFill="1" applyBorder="1" applyAlignment="1">
      <alignment horizontal="center" vertical="center" wrapText="1"/>
    </xf>
    <xf numFmtId="0" fontId="24" fillId="8" borderId="34" xfId="1" applyFont="1" applyFill="1" applyBorder="1" applyAlignment="1">
      <alignment horizontal="center" vertical="center" wrapText="1"/>
    </xf>
    <xf numFmtId="0" fontId="24" fillId="0" borderId="15" xfId="1" quotePrefix="1" applyFont="1" applyBorder="1" applyAlignment="1">
      <alignment horizontal="center" vertical="top"/>
    </xf>
    <xf numFmtId="14" fontId="24" fillId="0" borderId="1" xfId="1" applyNumberFormat="1" applyFont="1" applyBorder="1" applyAlignment="1">
      <alignment horizontal="center" vertical="top"/>
    </xf>
    <xf numFmtId="0" fontId="24" fillId="0" borderId="0" xfId="0" applyFont="1">
      <alignment vertical="center"/>
    </xf>
    <xf numFmtId="0" fontId="24" fillId="0" borderId="15" xfId="1" applyFont="1" applyBorder="1" applyAlignment="1">
      <alignment horizontal="center" vertical="top"/>
    </xf>
    <xf numFmtId="0" fontId="24" fillId="0" borderId="1" xfId="1" applyFont="1" applyBorder="1" applyAlignment="1">
      <alignment vertical="top" wrapText="1"/>
    </xf>
    <xf numFmtId="0" fontId="24" fillId="0" borderId="1" xfId="1" applyFont="1" applyBorder="1" applyAlignment="1">
      <alignment horizontal="center" vertical="top"/>
    </xf>
    <xf numFmtId="0" fontId="25" fillId="0" borderId="0" xfId="1" applyFont="1">
      <alignment vertical="center"/>
    </xf>
    <xf numFmtId="0" fontId="26" fillId="12" borderId="57" xfId="0" applyFont="1" applyFill="1" applyBorder="1">
      <alignment vertical="center"/>
    </xf>
    <xf numFmtId="0" fontId="26" fillId="12" borderId="57" xfId="0" applyFont="1" applyFill="1" applyBorder="1" applyAlignment="1">
      <alignment vertical="center" wrapText="1"/>
    </xf>
    <xf numFmtId="0" fontId="26" fillId="13" borderId="57" xfId="0" applyFont="1" applyFill="1" applyBorder="1">
      <alignment vertical="center"/>
    </xf>
    <xf numFmtId="0" fontId="29" fillId="14" borderId="57" xfId="0" applyFont="1" applyFill="1" applyBorder="1">
      <alignment vertical="center"/>
    </xf>
    <xf numFmtId="0" fontId="27" fillId="14" borderId="57" xfId="0" applyFont="1" applyFill="1" applyBorder="1">
      <alignment vertical="center"/>
    </xf>
    <xf numFmtId="0" fontId="29" fillId="12" borderId="57" xfId="0" applyFont="1" applyFill="1" applyBorder="1">
      <alignment vertical="center"/>
    </xf>
  </cellXfs>
  <cellStyles count="2">
    <cellStyle name="標準" xfId="0" builtinId="0"/>
    <cellStyle name="標準 4 4" xfId="1" xr:uid="{EC3C410D-3111-4552-B3B2-321B3DDF8CCE}"/>
  </cellStyles>
  <dxfs count="181">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numFmt numFmtId="0" formatCode="General"/>
    </dxf>
    <dxf>
      <numFmt numFmtId="0" formatCode="General"/>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numFmt numFmtId="180" formatCode="0_);[Red]\(0\)"/>
      <alignment horizontal="left" vertical="center" textRotation="0" wrapText="0" indent="0" justifyLastLine="0" shrinkToFit="0" readingOrder="0"/>
    </dxf>
    <dxf>
      <numFmt numFmtId="180" formatCode="0_);[Red]\(0\)"/>
      <alignment horizontal="left" vertical="center" textRotation="0" wrapText="0" indent="0" justifyLastLine="0" shrinkToFit="0" readingOrder="0"/>
    </dxf>
    <dxf>
      <numFmt numFmtId="180" formatCode="0_);[Red]\(0\)"/>
      <alignment horizontal="left" vertical="center" textRotation="0" wrapText="0" indent="0" justifyLastLine="0" shrinkToFit="0" readingOrder="0"/>
    </dxf>
    <dxf>
      <numFmt numFmtId="180" formatCode="0_);[Red]\(0\)"/>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numFmt numFmtId="0" formatCode="General"/>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rgb="FF16191F"/>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s>
  <tableStyles count="0" defaultTableStyle="TableStyleMedium2" defaultPivotStyle="PivotStyleLight16"/>
  <colors>
    <mruColors>
      <color rgb="FFFFCCFF"/>
      <color rgb="FF8DB4E2"/>
      <color rgb="FFCCFFCC"/>
      <color rgb="FF99FF99"/>
      <color rgb="FFFFFF00"/>
      <color rgb="FFFF99FF"/>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29</xdr:row>
      <xdr:rowOff>0</xdr:rowOff>
    </xdr:from>
    <xdr:to>
      <xdr:col>2</xdr:col>
      <xdr:colOff>1</xdr:colOff>
      <xdr:row>36</xdr:row>
      <xdr:rowOff>71958</xdr:rowOff>
    </xdr:to>
    <xdr:pic>
      <xdr:nvPicPr>
        <xdr:cNvPr id="35" name="図 34">
          <a:extLst>
            <a:ext uri="{FF2B5EF4-FFF2-40B4-BE49-F238E27FC236}">
              <a16:creationId xmlns:a16="http://schemas.microsoft.com/office/drawing/2014/main" id="{D91ED276-85C8-4E54-B596-27386A03970E}"/>
            </a:ext>
          </a:extLst>
        </xdr:cNvPr>
        <xdr:cNvPicPr>
          <a:picLocks noChangeAspect="1"/>
        </xdr:cNvPicPr>
      </xdr:nvPicPr>
      <xdr:blipFill>
        <a:blip xmlns:r="http://schemas.openxmlformats.org/officeDocument/2006/relationships" r:embed="rId1"/>
        <a:stretch>
          <a:fillRect/>
        </a:stretch>
      </xdr:blipFill>
      <xdr:spPr>
        <a:xfrm>
          <a:off x="695326" y="6905625"/>
          <a:ext cx="3733800" cy="1732483"/>
        </a:xfrm>
        <a:prstGeom prst="rect">
          <a:avLst/>
        </a:prstGeom>
      </xdr:spPr>
    </xdr:pic>
    <xdr:clientData/>
  </xdr:twoCellAnchor>
  <xdr:twoCellAnchor>
    <xdr:from>
      <xdr:col>1</xdr:col>
      <xdr:colOff>1</xdr:colOff>
      <xdr:row>1</xdr:row>
      <xdr:rowOff>219076</xdr:rowOff>
    </xdr:from>
    <xdr:to>
      <xdr:col>5</xdr:col>
      <xdr:colOff>1703712</xdr:colOff>
      <xdr:row>14</xdr:row>
      <xdr:rowOff>219075</xdr:rowOff>
    </xdr:to>
    <xdr:grpSp>
      <xdr:nvGrpSpPr>
        <xdr:cNvPr id="29" name="グループ化 28">
          <a:extLst>
            <a:ext uri="{FF2B5EF4-FFF2-40B4-BE49-F238E27FC236}">
              <a16:creationId xmlns:a16="http://schemas.microsoft.com/office/drawing/2014/main" id="{E682924C-8AA2-4EA6-B868-C26D2B6B1C75}"/>
            </a:ext>
          </a:extLst>
        </xdr:cNvPr>
        <xdr:cNvGrpSpPr/>
      </xdr:nvGrpSpPr>
      <xdr:grpSpPr>
        <a:xfrm>
          <a:off x="692151" y="447676"/>
          <a:ext cx="15584811" cy="2971799"/>
          <a:chOff x="695326" y="457201"/>
          <a:chExt cx="14752961" cy="3095624"/>
        </a:xfrm>
      </xdr:grpSpPr>
      <xdr:pic>
        <xdr:nvPicPr>
          <xdr:cNvPr id="2" name="図 1">
            <a:extLst>
              <a:ext uri="{FF2B5EF4-FFF2-40B4-BE49-F238E27FC236}">
                <a16:creationId xmlns:a16="http://schemas.microsoft.com/office/drawing/2014/main" id="{C60103DD-E81D-445C-9CE6-C057294F409B}"/>
              </a:ext>
            </a:extLst>
          </xdr:cNvPr>
          <xdr:cNvPicPr>
            <a:picLocks noChangeAspect="1"/>
          </xdr:cNvPicPr>
        </xdr:nvPicPr>
        <xdr:blipFill>
          <a:blip xmlns:r="http://schemas.openxmlformats.org/officeDocument/2006/relationships" r:embed="rId2"/>
          <a:stretch>
            <a:fillRect/>
          </a:stretch>
        </xdr:blipFill>
        <xdr:spPr>
          <a:xfrm>
            <a:off x="695326" y="1163592"/>
            <a:ext cx="2641526" cy="1665333"/>
          </a:xfrm>
          <a:prstGeom prst="rect">
            <a:avLst/>
          </a:prstGeom>
        </xdr:spPr>
      </xdr:pic>
      <xdr:pic>
        <xdr:nvPicPr>
          <xdr:cNvPr id="3" name="図 2">
            <a:extLst>
              <a:ext uri="{FF2B5EF4-FFF2-40B4-BE49-F238E27FC236}">
                <a16:creationId xmlns:a16="http://schemas.microsoft.com/office/drawing/2014/main" id="{F036ED77-0A02-4FCF-B7E7-AF0B9660A06B}"/>
              </a:ext>
            </a:extLst>
          </xdr:cNvPr>
          <xdr:cNvPicPr>
            <a:picLocks noChangeAspect="1"/>
          </xdr:cNvPicPr>
        </xdr:nvPicPr>
        <xdr:blipFill>
          <a:blip xmlns:r="http://schemas.openxmlformats.org/officeDocument/2006/relationships" r:embed="rId3"/>
          <a:stretch>
            <a:fillRect/>
          </a:stretch>
        </xdr:blipFill>
        <xdr:spPr>
          <a:xfrm>
            <a:off x="5762625" y="952500"/>
            <a:ext cx="4733925" cy="1883204"/>
          </a:xfrm>
          <a:prstGeom prst="rect">
            <a:avLst/>
          </a:prstGeom>
        </xdr:spPr>
      </xdr:pic>
      <xdr:sp macro="" textlink="">
        <xdr:nvSpPr>
          <xdr:cNvPr id="6" name="四角形: 角を丸くする 5">
            <a:extLst>
              <a:ext uri="{FF2B5EF4-FFF2-40B4-BE49-F238E27FC236}">
                <a16:creationId xmlns:a16="http://schemas.microsoft.com/office/drawing/2014/main" id="{9A1ADEAB-37E2-4E18-B6A8-CB8155F2B216}"/>
              </a:ext>
            </a:extLst>
          </xdr:cNvPr>
          <xdr:cNvSpPr/>
        </xdr:nvSpPr>
        <xdr:spPr>
          <a:xfrm>
            <a:off x="1905000" y="1962150"/>
            <a:ext cx="1057275" cy="5334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吹き出し: 角を丸めた四角形 6">
            <a:extLst>
              <a:ext uri="{FF2B5EF4-FFF2-40B4-BE49-F238E27FC236}">
                <a16:creationId xmlns:a16="http://schemas.microsoft.com/office/drawing/2014/main" id="{CCE5CBF0-3307-489E-AC55-59FC0A37F226}"/>
              </a:ext>
            </a:extLst>
          </xdr:cNvPr>
          <xdr:cNvSpPr/>
        </xdr:nvSpPr>
        <xdr:spPr>
          <a:xfrm>
            <a:off x="6943724" y="457201"/>
            <a:ext cx="2981325" cy="676274"/>
          </a:xfrm>
          <a:prstGeom prst="wedgeRoundRectCallout">
            <a:avLst>
              <a:gd name="adj1" fmla="val -40806"/>
              <a:gd name="adj2" fmla="val 14501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②値を入力したセルを選択してください。</a:t>
            </a:r>
          </a:p>
        </xdr:txBody>
      </xdr:sp>
      <xdr:sp macro="" textlink="">
        <xdr:nvSpPr>
          <xdr:cNvPr id="9" name="吹き出し: 角を丸めた四角形 8">
            <a:extLst>
              <a:ext uri="{FF2B5EF4-FFF2-40B4-BE49-F238E27FC236}">
                <a16:creationId xmlns:a16="http://schemas.microsoft.com/office/drawing/2014/main" id="{61BA50F5-E8E4-4C28-BD93-B79DEAA6A933}"/>
              </a:ext>
            </a:extLst>
          </xdr:cNvPr>
          <xdr:cNvSpPr/>
        </xdr:nvSpPr>
        <xdr:spPr>
          <a:xfrm>
            <a:off x="7991474" y="2876551"/>
            <a:ext cx="2981325" cy="676274"/>
          </a:xfrm>
          <a:prstGeom prst="wedgeRoundRectCallout">
            <a:avLst>
              <a:gd name="adj1" fmla="val -5981"/>
              <a:gd name="adj2" fmla="val -9865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③「</a:t>
            </a:r>
            <a:r>
              <a:rPr kumimoji="1" lang="en-US" altLang="ja-JP" sz="1100" b="1">
                <a:latin typeface="Meiryo UI" panose="020B0604030504040204" pitchFamily="50" charset="-128"/>
                <a:ea typeface="Meiryo UI" panose="020B0604030504040204" pitchFamily="50" charset="-128"/>
              </a:rPr>
              <a:t>Ctrl+T</a:t>
            </a:r>
            <a:r>
              <a:rPr kumimoji="1" lang="ja-JP" altLang="en-US" sz="1100" b="1">
                <a:latin typeface="Meiryo UI" panose="020B0604030504040204" pitchFamily="50" charset="-128"/>
                <a:ea typeface="Meiryo UI" panose="020B0604030504040204" pitchFamily="50" charset="-128"/>
              </a:rPr>
              <a:t>」を押下し、</a:t>
            </a:r>
            <a:r>
              <a:rPr kumimoji="1" lang="en-US" altLang="ja-JP" sz="1100" b="1">
                <a:latin typeface="Meiryo UI" panose="020B0604030504040204" pitchFamily="50" charset="-128"/>
                <a:ea typeface="Meiryo UI" panose="020B0604030504040204" pitchFamily="50" charset="-128"/>
              </a:rPr>
              <a:t>OK</a:t>
            </a:r>
            <a:r>
              <a:rPr kumimoji="1" lang="ja-JP" altLang="en-US" sz="1100" b="1">
                <a:latin typeface="Meiryo UI" panose="020B0604030504040204" pitchFamily="50" charset="-128"/>
                <a:ea typeface="Meiryo UI" panose="020B0604030504040204" pitchFamily="50" charset="-128"/>
              </a:rPr>
              <a:t>を押下してください。</a:t>
            </a:r>
          </a:p>
        </xdr:txBody>
      </xdr:sp>
      <xdr:pic>
        <xdr:nvPicPr>
          <xdr:cNvPr id="10" name="図 9">
            <a:extLst>
              <a:ext uri="{FF2B5EF4-FFF2-40B4-BE49-F238E27FC236}">
                <a16:creationId xmlns:a16="http://schemas.microsoft.com/office/drawing/2014/main" id="{E9A89504-7D0C-40B2-90AC-D2288947C81D}"/>
              </a:ext>
            </a:extLst>
          </xdr:cNvPr>
          <xdr:cNvPicPr>
            <a:picLocks noChangeAspect="1"/>
          </xdr:cNvPicPr>
        </xdr:nvPicPr>
        <xdr:blipFill>
          <a:blip xmlns:r="http://schemas.openxmlformats.org/officeDocument/2006/relationships" r:embed="rId4"/>
          <a:stretch>
            <a:fillRect/>
          </a:stretch>
        </xdr:blipFill>
        <xdr:spPr>
          <a:xfrm>
            <a:off x="11591924" y="948986"/>
            <a:ext cx="3856363" cy="2032339"/>
          </a:xfrm>
          <a:prstGeom prst="rect">
            <a:avLst/>
          </a:prstGeom>
        </xdr:spPr>
      </xdr:pic>
      <xdr:sp macro="" textlink="">
        <xdr:nvSpPr>
          <xdr:cNvPr id="11" name="テキスト ボックス 10">
            <a:extLst>
              <a:ext uri="{FF2B5EF4-FFF2-40B4-BE49-F238E27FC236}">
                <a16:creationId xmlns:a16="http://schemas.microsoft.com/office/drawing/2014/main" id="{7E91A703-AE61-42AE-A37B-E1184F89265D}"/>
              </a:ext>
            </a:extLst>
          </xdr:cNvPr>
          <xdr:cNvSpPr txBox="1"/>
        </xdr:nvSpPr>
        <xdr:spPr>
          <a:xfrm>
            <a:off x="1524000" y="1695450"/>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①</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sp macro="" textlink="">
        <xdr:nvSpPr>
          <xdr:cNvPr id="12" name="吹き出し: 角を丸めた四角形 11">
            <a:extLst>
              <a:ext uri="{FF2B5EF4-FFF2-40B4-BE49-F238E27FC236}">
                <a16:creationId xmlns:a16="http://schemas.microsoft.com/office/drawing/2014/main" id="{5EE336E3-7834-4A7B-8FE2-19456EC1CB18}"/>
              </a:ext>
            </a:extLst>
          </xdr:cNvPr>
          <xdr:cNvSpPr/>
        </xdr:nvSpPr>
        <xdr:spPr>
          <a:xfrm>
            <a:off x="1752599" y="628651"/>
            <a:ext cx="2981325" cy="676274"/>
          </a:xfrm>
          <a:prstGeom prst="wedgeRoundRectCallout">
            <a:avLst>
              <a:gd name="adj1" fmla="val -40806"/>
              <a:gd name="adj2" fmla="val 14501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①テーブルに登録したい値ならびに列見出しをセルに入力してください。</a:t>
            </a:r>
          </a:p>
        </xdr:txBody>
      </xdr:sp>
      <xdr:sp macro="" textlink="">
        <xdr:nvSpPr>
          <xdr:cNvPr id="13" name="四角形: 角を丸くする 12">
            <a:extLst>
              <a:ext uri="{FF2B5EF4-FFF2-40B4-BE49-F238E27FC236}">
                <a16:creationId xmlns:a16="http://schemas.microsoft.com/office/drawing/2014/main" id="{B233412F-E500-4774-B7BE-AFD810961779}"/>
              </a:ext>
            </a:extLst>
          </xdr:cNvPr>
          <xdr:cNvSpPr/>
        </xdr:nvSpPr>
        <xdr:spPr>
          <a:xfrm>
            <a:off x="7019925" y="1771650"/>
            <a:ext cx="1057275" cy="5334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テキスト ボックス 13">
            <a:extLst>
              <a:ext uri="{FF2B5EF4-FFF2-40B4-BE49-F238E27FC236}">
                <a16:creationId xmlns:a16="http://schemas.microsoft.com/office/drawing/2014/main" id="{CBF47B72-A45E-4A93-8F05-093DF52B65F3}"/>
              </a:ext>
            </a:extLst>
          </xdr:cNvPr>
          <xdr:cNvSpPr txBox="1"/>
        </xdr:nvSpPr>
        <xdr:spPr>
          <a:xfrm>
            <a:off x="6638925" y="1504950"/>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②</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sp macro="" textlink="">
        <xdr:nvSpPr>
          <xdr:cNvPr id="15" name="四角形: 角を丸くする 14">
            <a:extLst>
              <a:ext uri="{FF2B5EF4-FFF2-40B4-BE49-F238E27FC236}">
                <a16:creationId xmlns:a16="http://schemas.microsoft.com/office/drawing/2014/main" id="{AC131481-4DE1-4360-B752-D411DE2AC8BD}"/>
              </a:ext>
            </a:extLst>
          </xdr:cNvPr>
          <xdr:cNvSpPr/>
        </xdr:nvSpPr>
        <xdr:spPr>
          <a:xfrm>
            <a:off x="8410575" y="1800225"/>
            <a:ext cx="1533525" cy="85725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テキスト ボックス 15">
            <a:extLst>
              <a:ext uri="{FF2B5EF4-FFF2-40B4-BE49-F238E27FC236}">
                <a16:creationId xmlns:a16="http://schemas.microsoft.com/office/drawing/2014/main" id="{B70AD9A0-13B2-4DC9-A9EB-A1C107B05BD9}"/>
              </a:ext>
            </a:extLst>
          </xdr:cNvPr>
          <xdr:cNvSpPr txBox="1"/>
        </xdr:nvSpPr>
        <xdr:spPr>
          <a:xfrm>
            <a:off x="8029575" y="1533525"/>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③</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sp macro="" textlink="">
        <xdr:nvSpPr>
          <xdr:cNvPr id="17" name="四角形: 角を丸くする 16">
            <a:extLst>
              <a:ext uri="{FF2B5EF4-FFF2-40B4-BE49-F238E27FC236}">
                <a16:creationId xmlns:a16="http://schemas.microsoft.com/office/drawing/2014/main" id="{C485CE44-447F-41BC-8FE4-75BDE4B9F0A6}"/>
              </a:ext>
            </a:extLst>
          </xdr:cNvPr>
          <xdr:cNvSpPr/>
        </xdr:nvSpPr>
        <xdr:spPr>
          <a:xfrm>
            <a:off x="11563350" y="1123950"/>
            <a:ext cx="771525" cy="3810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テキスト ボックス 17">
            <a:extLst>
              <a:ext uri="{FF2B5EF4-FFF2-40B4-BE49-F238E27FC236}">
                <a16:creationId xmlns:a16="http://schemas.microsoft.com/office/drawing/2014/main" id="{1B8A7CF6-6080-493C-923D-3F94B936FF73}"/>
              </a:ext>
            </a:extLst>
          </xdr:cNvPr>
          <xdr:cNvSpPr txBox="1"/>
        </xdr:nvSpPr>
        <xdr:spPr>
          <a:xfrm>
            <a:off x="11114388" y="857250"/>
            <a:ext cx="2710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④</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sp macro="" textlink="">
        <xdr:nvSpPr>
          <xdr:cNvPr id="19" name="吹き出し: 角を丸めた四角形 18">
            <a:extLst>
              <a:ext uri="{FF2B5EF4-FFF2-40B4-BE49-F238E27FC236}">
                <a16:creationId xmlns:a16="http://schemas.microsoft.com/office/drawing/2014/main" id="{5409EB5F-1E10-401C-A856-20125DF520A8}"/>
              </a:ext>
            </a:extLst>
          </xdr:cNvPr>
          <xdr:cNvSpPr/>
        </xdr:nvSpPr>
        <xdr:spPr>
          <a:xfrm>
            <a:off x="11763374" y="2105026"/>
            <a:ext cx="2981325" cy="676274"/>
          </a:xfrm>
          <a:prstGeom prst="wedgeRoundRectCallout">
            <a:avLst>
              <a:gd name="adj1" fmla="val -44320"/>
              <a:gd name="adj2" fmla="val -14231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④テーブル名を入力してください。</a:t>
            </a:r>
          </a:p>
        </xdr:txBody>
      </xdr:sp>
    </xdr:grpSp>
    <xdr:clientData/>
  </xdr:twoCellAnchor>
  <xdr:twoCellAnchor>
    <xdr:from>
      <xdr:col>1</xdr:col>
      <xdr:colOff>9525</xdr:colOff>
      <xdr:row>17</xdr:row>
      <xdr:rowOff>123826</xdr:rowOff>
    </xdr:from>
    <xdr:to>
      <xdr:col>3</xdr:col>
      <xdr:colOff>4076699</xdr:colOff>
      <xdr:row>26</xdr:row>
      <xdr:rowOff>265</xdr:rowOff>
    </xdr:to>
    <xdr:grpSp>
      <xdr:nvGrpSpPr>
        <xdr:cNvPr id="28" name="グループ化 27">
          <a:extLst>
            <a:ext uri="{FF2B5EF4-FFF2-40B4-BE49-F238E27FC236}">
              <a16:creationId xmlns:a16="http://schemas.microsoft.com/office/drawing/2014/main" id="{48805213-6E45-4AE9-A65A-3EB502FEEACD}"/>
            </a:ext>
          </a:extLst>
        </xdr:cNvPr>
        <xdr:cNvGrpSpPr/>
      </xdr:nvGrpSpPr>
      <xdr:grpSpPr>
        <a:xfrm>
          <a:off x="701675" y="4010026"/>
          <a:ext cx="11039474" cy="1933839"/>
          <a:chOff x="704850" y="4171951"/>
          <a:chExt cx="10201274" cy="2019564"/>
        </a:xfrm>
      </xdr:grpSpPr>
      <xdr:pic>
        <xdr:nvPicPr>
          <xdr:cNvPr id="20" name="図 19">
            <a:extLst>
              <a:ext uri="{FF2B5EF4-FFF2-40B4-BE49-F238E27FC236}">
                <a16:creationId xmlns:a16="http://schemas.microsoft.com/office/drawing/2014/main" id="{6D960EED-7768-49C5-B31C-EB755074BAF0}"/>
              </a:ext>
            </a:extLst>
          </xdr:cNvPr>
          <xdr:cNvPicPr>
            <a:picLocks noChangeAspect="1"/>
          </xdr:cNvPicPr>
        </xdr:nvPicPr>
        <xdr:blipFill>
          <a:blip xmlns:r="http://schemas.openxmlformats.org/officeDocument/2006/relationships" r:embed="rId5"/>
          <a:stretch>
            <a:fillRect/>
          </a:stretch>
        </xdr:blipFill>
        <xdr:spPr>
          <a:xfrm>
            <a:off x="704850" y="4286250"/>
            <a:ext cx="2753109" cy="1695687"/>
          </a:xfrm>
          <a:prstGeom prst="rect">
            <a:avLst/>
          </a:prstGeom>
        </xdr:spPr>
      </xdr:pic>
      <xdr:sp macro="" textlink="">
        <xdr:nvSpPr>
          <xdr:cNvPr id="21" name="四角形: 角を丸くする 20">
            <a:extLst>
              <a:ext uri="{FF2B5EF4-FFF2-40B4-BE49-F238E27FC236}">
                <a16:creationId xmlns:a16="http://schemas.microsoft.com/office/drawing/2014/main" id="{E7CF2E9B-3E0C-4EA3-8081-5BB41D14FF42}"/>
              </a:ext>
            </a:extLst>
          </xdr:cNvPr>
          <xdr:cNvSpPr/>
        </xdr:nvSpPr>
        <xdr:spPr>
          <a:xfrm>
            <a:off x="2495550" y="5505450"/>
            <a:ext cx="485775" cy="33337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テキスト ボックス 21">
            <a:extLst>
              <a:ext uri="{FF2B5EF4-FFF2-40B4-BE49-F238E27FC236}">
                <a16:creationId xmlns:a16="http://schemas.microsoft.com/office/drawing/2014/main" id="{3475220F-9F08-40B6-B544-3D91AA73C186}"/>
              </a:ext>
            </a:extLst>
          </xdr:cNvPr>
          <xdr:cNvSpPr txBox="1"/>
        </xdr:nvSpPr>
        <xdr:spPr>
          <a:xfrm>
            <a:off x="2143125" y="5400675"/>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①</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pic>
        <xdr:nvPicPr>
          <xdr:cNvPr id="23" name="図 22">
            <a:extLst>
              <a:ext uri="{FF2B5EF4-FFF2-40B4-BE49-F238E27FC236}">
                <a16:creationId xmlns:a16="http://schemas.microsoft.com/office/drawing/2014/main" id="{8204A495-B0E4-4B53-910E-EFE3127846D9}"/>
              </a:ext>
            </a:extLst>
          </xdr:cNvPr>
          <xdr:cNvPicPr>
            <a:picLocks noChangeAspect="1"/>
          </xdr:cNvPicPr>
        </xdr:nvPicPr>
        <xdr:blipFill>
          <a:blip xmlns:r="http://schemas.openxmlformats.org/officeDocument/2006/relationships" r:embed="rId6"/>
          <a:stretch>
            <a:fillRect/>
          </a:stretch>
        </xdr:blipFill>
        <xdr:spPr>
          <a:xfrm>
            <a:off x="5495925" y="4295775"/>
            <a:ext cx="3429479" cy="1895740"/>
          </a:xfrm>
          <a:prstGeom prst="rect">
            <a:avLst/>
          </a:prstGeom>
        </xdr:spPr>
      </xdr:pic>
      <xdr:sp macro="" textlink="">
        <xdr:nvSpPr>
          <xdr:cNvPr id="24" name="吹き出し: 角を丸めた四角形 23">
            <a:extLst>
              <a:ext uri="{FF2B5EF4-FFF2-40B4-BE49-F238E27FC236}">
                <a16:creationId xmlns:a16="http://schemas.microsoft.com/office/drawing/2014/main" id="{921D86A7-F1B4-4938-81FF-50B9044C8464}"/>
              </a:ext>
            </a:extLst>
          </xdr:cNvPr>
          <xdr:cNvSpPr/>
        </xdr:nvSpPr>
        <xdr:spPr>
          <a:xfrm>
            <a:off x="2409824" y="4171951"/>
            <a:ext cx="2981325" cy="676274"/>
          </a:xfrm>
          <a:prstGeom prst="wedgeRoundRectCallout">
            <a:avLst>
              <a:gd name="adj1" fmla="val -40806"/>
              <a:gd name="adj2" fmla="val 14501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①テーブル右下部にあるポイントをクリックし、そのまま</a:t>
            </a:r>
            <a:r>
              <a:rPr kumimoji="1" lang="en-US" altLang="ja-JP" sz="1100" b="1">
                <a:latin typeface="Meiryo UI" panose="020B0604030504040204" pitchFamily="50" charset="-128"/>
                <a:ea typeface="Meiryo UI" panose="020B0604030504040204" pitchFamily="50" charset="-128"/>
              </a:rPr>
              <a:t>1</a:t>
            </a:r>
            <a:r>
              <a:rPr kumimoji="1" lang="ja-JP" altLang="en-US" sz="1100" b="1">
                <a:latin typeface="Meiryo UI" panose="020B0604030504040204" pitchFamily="50" charset="-128"/>
                <a:ea typeface="Meiryo UI" panose="020B0604030504040204" pitchFamily="50" charset="-128"/>
              </a:rPr>
              <a:t>列分右に広げてください</a:t>
            </a:r>
          </a:p>
        </xdr:txBody>
      </xdr:sp>
      <xdr:sp macro="" textlink="">
        <xdr:nvSpPr>
          <xdr:cNvPr id="25" name="四角形: 角を丸くする 24">
            <a:extLst>
              <a:ext uri="{FF2B5EF4-FFF2-40B4-BE49-F238E27FC236}">
                <a16:creationId xmlns:a16="http://schemas.microsoft.com/office/drawing/2014/main" id="{C87C799E-5C47-4861-9E21-DE1D981E7229}"/>
              </a:ext>
            </a:extLst>
          </xdr:cNvPr>
          <xdr:cNvSpPr/>
        </xdr:nvSpPr>
        <xdr:spPr>
          <a:xfrm>
            <a:off x="7553325" y="4953000"/>
            <a:ext cx="685800" cy="77152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テキスト ボックス 25">
            <a:extLst>
              <a:ext uri="{FF2B5EF4-FFF2-40B4-BE49-F238E27FC236}">
                <a16:creationId xmlns:a16="http://schemas.microsoft.com/office/drawing/2014/main" id="{CA989B35-52DB-469C-97C8-27911059505A}"/>
              </a:ext>
            </a:extLst>
          </xdr:cNvPr>
          <xdr:cNvSpPr txBox="1"/>
        </xdr:nvSpPr>
        <xdr:spPr>
          <a:xfrm>
            <a:off x="7219950" y="4600575"/>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②</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sp macro="" textlink="">
        <xdr:nvSpPr>
          <xdr:cNvPr id="27" name="吹き出し: 角を丸めた四角形 26">
            <a:extLst>
              <a:ext uri="{FF2B5EF4-FFF2-40B4-BE49-F238E27FC236}">
                <a16:creationId xmlns:a16="http://schemas.microsoft.com/office/drawing/2014/main" id="{D1110731-D760-4683-B16D-E0F6EF2C6175}"/>
              </a:ext>
            </a:extLst>
          </xdr:cNvPr>
          <xdr:cNvSpPr/>
        </xdr:nvSpPr>
        <xdr:spPr>
          <a:xfrm>
            <a:off x="7924799" y="4191001"/>
            <a:ext cx="2981325" cy="676274"/>
          </a:xfrm>
          <a:prstGeom prst="wedgeRoundRectCallout">
            <a:avLst>
              <a:gd name="adj1" fmla="val -44959"/>
              <a:gd name="adj2" fmla="val 7599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②列が追加されます。</a:t>
            </a:r>
            <a:br>
              <a:rPr kumimoji="1" lang="en-US" altLang="ja-JP" sz="1100" b="1">
                <a:latin typeface="Meiryo UI" panose="020B0604030504040204" pitchFamily="50" charset="-128"/>
                <a:ea typeface="Meiryo UI" panose="020B0604030504040204" pitchFamily="50" charset="-128"/>
              </a:rPr>
            </a:br>
            <a:endParaRPr kumimoji="1" lang="ja-JP" altLang="en-US" sz="1100" b="1">
              <a:latin typeface="Meiryo UI" panose="020B0604030504040204" pitchFamily="50" charset="-128"/>
              <a:ea typeface="Meiryo UI" panose="020B0604030504040204" pitchFamily="50" charset="-128"/>
            </a:endParaRPr>
          </a:p>
        </xdr:txBody>
      </xdr:sp>
    </xdr:grpSp>
    <xdr:clientData/>
  </xdr:twoCellAnchor>
  <xdr:twoCellAnchor>
    <xdr:from>
      <xdr:col>0</xdr:col>
      <xdr:colOff>666750</xdr:colOff>
      <xdr:row>34</xdr:row>
      <xdr:rowOff>200025</xdr:rowOff>
    </xdr:from>
    <xdr:to>
      <xdr:col>1</xdr:col>
      <xdr:colOff>1247775</xdr:colOff>
      <xdr:row>35</xdr:row>
      <xdr:rowOff>190500</xdr:rowOff>
    </xdr:to>
    <xdr:sp macro="" textlink="">
      <xdr:nvSpPr>
        <xdr:cNvPr id="31" name="四角形: 角を丸くする 30">
          <a:extLst>
            <a:ext uri="{FF2B5EF4-FFF2-40B4-BE49-F238E27FC236}">
              <a16:creationId xmlns:a16="http://schemas.microsoft.com/office/drawing/2014/main" id="{BB681799-433F-4775-8980-81EED325B1AF}"/>
            </a:ext>
          </a:extLst>
        </xdr:cNvPr>
        <xdr:cNvSpPr/>
      </xdr:nvSpPr>
      <xdr:spPr>
        <a:xfrm>
          <a:off x="666750" y="8296275"/>
          <a:ext cx="1276350" cy="2286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34</xdr:row>
      <xdr:rowOff>38101</xdr:rowOff>
    </xdr:from>
    <xdr:to>
      <xdr:col>0</xdr:col>
      <xdr:colOff>685800</xdr:colOff>
      <xdr:row>35</xdr:row>
      <xdr:rowOff>152401</xdr:rowOff>
    </xdr:to>
    <xdr:sp macro="" textlink="">
      <xdr:nvSpPr>
        <xdr:cNvPr id="32" name="テキスト ボックス 31">
          <a:extLst>
            <a:ext uri="{FF2B5EF4-FFF2-40B4-BE49-F238E27FC236}">
              <a16:creationId xmlns:a16="http://schemas.microsoft.com/office/drawing/2014/main" id="{72D814FF-5D5A-4257-BDF5-20EA2BCC8B3C}"/>
            </a:ext>
          </a:extLst>
        </xdr:cNvPr>
        <xdr:cNvSpPr txBox="1"/>
      </xdr:nvSpPr>
      <xdr:spPr>
        <a:xfrm>
          <a:off x="314325" y="8134351"/>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①</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xdr:col>
      <xdr:colOff>1562100</xdr:colOff>
      <xdr:row>34</xdr:row>
      <xdr:rowOff>76201</xdr:rowOff>
    </xdr:from>
    <xdr:to>
      <xdr:col>2</xdr:col>
      <xdr:colOff>1476375</xdr:colOff>
      <xdr:row>37</xdr:row>
      <xdr:rowOff>38100</xdr:rowOff>
    </xdr:to>
    <xdr:sp macro="" textlink="">
      <xdr:nvSpPr>
        <xdr:cNvPr id="33" name="吹き出し: 角を丸めた四角形 32">
          <a:extLst>
            <a:ext uri="{FF2B5EF4-FFF2-40B4-BE49-F238E27FC236}">
              <a16:creationId xmlns:a16="http://schemas.microsoft.com/office/drawing/2014/main" id="{3F72F214-2E00-4A15-8018-6CD5C6995E35}"/>
            </a:ext>
          </a:extLst>
        </xdr:cNvPr>
        <xdr:cNvSpPr/>
      </xdr:nvSpPr>
      <xdr:spPr>
        <a:xfrm>
          <a:off x="2257425" y="8172451"/>
          <a:ext cx="2981325" cy="676274"/>
        </a:xfrm>
        <a:prstGeom prst="wedgeRoundRectCallout">
          <a:avLst>
            <a:gd name="adj1" fmla="val -61253"/>
            <a:gd name="adj2" fmla="val -1414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①テーブルの行を挿入したい箇所で行の挿入を実行してください。</a:t>
          </a:r>
        </a:p>
      </xdr:txBody>
    </xdr:sp>
    <xdr:clientData/>
  </xdr:twoCellAnchor>
  <xdr:twoCellAnchor editAs="oneCell">
    <xdr:from>
      <xdr:col>2</xdr:col>
      <xdr:colOff>2343150</xdr:colOff>
      <xdr:row>28</xdr:row>
      <xdr:rowOff>209550</xdr:rowOff>
    </xdr:from>
    <xdr:to>
      <xdr:col>3</xdr:col>
      <xdr:colOff>2686526</xdr:colOff>
      <xdr:row>36</xdr:row>
      <xdr:rowOff>230</xdr:rowOff>
    </xdr:to>
    <xdr:pic>
      <xdr:nvPicPr>
        <xdr:cNvPr id="36" name="図 35">
          <a:extLst>
            <a:ext uri="{FF2B5EF4-FFF2-40B4-BE49-F238E27FC236}">
              <a16:creationId xmlns:a16="http://schemas.microsoft.com/office/drawing/2014/main" id="{2318A613-FF77-4226-876D-1E0FF3F6B9AF}"/>
            </a:ext>
          </a:extLst>
        </xdr:cNvPr>
        <xdr:cNvPicPr>
          <a:picLocks noChangeAspect="1"/>
        </xdr:cNvPicPr>
      </xdr:nvPicPr>
      <xdr:blipFill>
        <a:blip xmlns:r="http://schemas.openxmlformats.org/officeDocument/2006/relationships" r:embed="rId7"/>
        <a:stretch>
          <a:fillRect/>
        </a:stretch>
      </xdr:blipFill>
      <xdr:spPr>
        <a:xfrm>
          <a:off x="6105525" y="6877050"/>
          <a:ext cx="3410426" cy="1648055"/>
        </a:xfrm>
        <a:prstGeom prst="rect">
          <a:avLst/>
        </a:prstGeom>
      </xdr:spPr>
    </xdr:pic>
    <xdr:clientData/>
  </xdr:twoCellAnchor>
  <xdr:twoCellAnchor>
    <xdr:from>
      <xdr:col>2</xdr:col>
      <xdr:colOff>2924175</xdr:colOff>
      <xdr:row>32</xdr:row>
      <xdr:rowOff>219075</xdr:rowOff>
    </xdr:from>
    <xdr:to>
      <xdr:col>3</xdr:col>
      <xdr:colOff>2085974</xdr:colOff>
      <xdr:row>33</xdr:row>
      <xdr:rowOff>228600</xdr:rowOff>
    </xdr:to>
    <xdr:sp macro="" textlink="">
      <xdr:nvSpPr>
        <xdr:cNvPr id="37" name="四角形: 角を丸くする 36">
          <a:extLst>
            <a:ext uri="{FF2B5EF4-FFF2-40B4-BE49-F238E27FC236}">
              <a16:creationId xmlns:a16="http://schemas.microsoft.com/office/drawing/2014/main" id="{8DE3F7C5-BC64-4804-AB4B-FC14ACBCE068}"/>
            </a:ext>
          </a:extLst>
        </xdr:cNvPr>
        <xdr:cNvSpPr/>
      </xdr:nvSpPr>
      <xdr:spPr>
        <a:xfrm>
          <a:off x="6686550" y="7839075"/>
          <a:ext cx="2228849" cy="24765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2543175</xdr:colOff>
      <xdr:row>32</xdr:row>
      <xdr:rowOff>57151</xdr:rowOff>
    </xdr:from>
    <xdr:to>
      <xdr:col>2</xdr:col>
      <xdr:colOff>2914650</xdr:colOff>
      <xdr:row>33</xdr:row>
      <xdr:rowOff>171451</xdr:rowOff>
    </xdr:to>
    <xdr:sp macro="" textlink="">
      <xdr:nvSpPr>
        <xdr:cNvPr id="38" name="テキスト ボックス 37">
          <a:extLst>
            <a:ext uri="{FF2B5EF4-FFF2-40B4-BE49-F238E27FC236}">
              <a16:creationId xmlns:a16="http://schemas.microsoft.com/office/drawing/2014/main" id="{DD8BD6C9-9E5A-4FB8-AF42-4350A76A6C78}"/>
            </a:ext>
          </a:extLst>
        </xdr:cNvPr>
        <xdr:cNvSpPr txBox="1"/>
      </xdr:nvSpPr>
      <xdr:spPr>
        <a:xfrm>
          <a:off x="6305550" y="7677151"/>
          <a:ext cx="371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600" b="1">
              <a:solidFill>
                <a:srgbClr val="FF0000"/>
              </a:solidFill>
              <a:latin typeface="Meiryo UI" panose="020B0604030504040204" pitchFamily="50" charset="-128"/>
              <a:ea typeface="Meiryo UI" panose="020B0604030504040204" pitchFamily="50" charset="-128"/>
            </a:rPr>
            <a:t>②</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1819275</xdr:colOff>
      <xdr:row>29</xdr:row>
      <xdr:rowOff>123826</xdr:rowOff>
    </xdr:from>
    <xdr:to>
      <xdr:col>4</xdr:col>
      <xdr:colOff>19050</xdr:colOff>
      <xdr:row>32</xdr:row>
      <xdr:rowOff>85725</xdr:rowOff>
    </xdr:to>
    <xdr:sp macro="" textlink="">
      <xdr:nvSpPr>
        <xdr:cNvPr id="39" name="吹き出し: 角を丸めた四角形 38">
          <a:extLst>
            <a:ext uri="{FF2B5EF4-FFF2-40B4-BE49-F238E27FC236}">
              <a16:creationId xmlns:a16="http://schemas.microsoft.com/office/drawing/2014/main" id="{69527DF1-8003-4B2C-BCC3-DD57E4FBDA73}"/>
            </a:ext>
          </a:extLst>
        </xdr:cNvPr>
        <xdr:cNvSpPr/>
      </xdr:nvSpPr>
      <xdr:spPr>
        <a:xfrm>
          <a:off x="8648700" y="7029451"/>
          <a:ext cx="2981325" cy="676274"/>
        </a:xfrm>
        <a:prstGeom prst="wedgeRoundRectCallout">
          <a:avLst>
            <a:gd name="adj1" fmla="val -44959"/>
            <a:gd name="adj2" fmla="val 7599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②行が追加されます。</a:t>
          </a:r>
          <a:br>
            <a:rPr kumimoji="1" lang="en-US" altLang="ja-JP" sz="1100" b="1">
              <a:latin typeface="Meiryo UI" panose="020B0604030504040204" pitchFamily="50" charset="-128"/>
              <a:ea typeface="Meiryo UI" panose="020B0604030504040204" pitchFamily="50" charset="-128"/>
            </a:rPr>
          </a:br>
          <a:endParaRPr kumimoji="1" lang="ja-JP" altLang="en-US" sz="1100" b="1">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bic_sv01\JBIC&#20849;&#26377;\IP&#30330;&#27880;\&#21335;&#38283;&#21109;&#20803;&#31038;&#38306;&#20418;&#36039;&#26009;\&#36914;&#25431;&#22577;&#21578;\&#22269;&#37329;&#31995;\&#26085;&#22577;&#12496;&#12483;&#12481;\JBIC-&#35069;&#36896;&#36914;&#25431;&#65288;&#26989;&#21209;&#12496;&#12483;&#12481;&#65289;_ITEC_200312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20316;&#26989;&#20013;\&#25351;&#27161;&#65367;&#65351;\&#65298;&#35373;08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52_LAN_HDD\i52\My%20Documents\B&#821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WINDOWS\TEMP\&#65298;&#35373;012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26989;&#21209;\1995&#26989;&#21209;\&#29983;&#29987;&#24615;\SEIS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ks74\SSK\GMAXCL\Mail\tmp\MsgTmp\M0fc0088\BACKUP\&#12467;&#12500;&#1254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グラム・９末仕様変更前"/>
      <sheetName val="プログラム・９末仕様変更"/>
      <sheetName val="プログラム担当統計"/>
      <sheetName val="ジョブ・データ元"/>
      <sheetName val="ジョブ"/>
      <sheetName val="プログラム状態分析"/>
      <sheetName val="機能状態分析"/>
      <sheetName val="ＵＴ２進捗管理表"/>
      <sheetName val="優先度状態分析"/>
      <sheetName val="単体テスト進捗管理表"/>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設0807"/>
      <sheetName val="PMレベル設定表"/>
      <sheetName val="PMS_DATA"/>
      <sheetName val="ｱﾀﾞﾌﾟﾀ"/>
      <sheetName val="SB(東亜ゴム)（４Ｕ）"/>
      <sheetName val="表紙（納入)"/>
      <sheetName val="変更歴"/>
      <sheetName val="目次"/>
      <sheetName val="1.1BSM(install)"/>
      <sheetName val="1.2BSM(set)(1)"/>
      <sheetName val="1.2BSM(set)(2)"/>
      <sheetName val="1.2BSM(set)(3)"/>
      <sheetName val="1.2BSM(set)(4)"/>
      <sheetName val="1.2BSM(set)(5)"/>
      <sheetName val="2.1DHCP"/>
      <sheetName val="2.2Webサーバ DPM"/>
      <sheetName val="2.2管理サーバ DPM(1)"/>
      <sheetName val="2.2管理サーバ DPM(2)"/>
      <sheetName val="2.2管理サーバ DPM(3)"/>
      <sheetName val="2.3DPM(set)(1)"/>
      <sheetName val="2.3DPM(set)(2)"/>
      <sheetName val="2.3DPM(set)(3)"/>
      <sheetName val="2.3DPM(set)(4)"/>
      <sheetName val="2.3DPM(set)"/>
      <sheetName val="3.CM(install)"/>
      <sheetName val="3.CM(set)"/>
      <sheetName val="4.DPMA"/>
      <sheetName val="5.JP1_NC M"/>
      <sheetName val="5.JP1_NC V"/>
      <sheetName val="5.JP1_NC A(1)"/>
      <sheetName val="5.JP1_NC A(2)"/>
      <sheetName val="5.JP1_NC A(3)"/>
      <sheetName val="6.1Agent(install)(1)"/>
      <sheetName val="6.2Agent(set)(1)"/>
      <sheetName val="6.2Agent(set)(2)"/>
      <sheetName val="6.2Agent(set)(3)"/>
      <sheetName val="7.1AAgent(install)(1)"/>
      <sheetName val="7.1AAgent(install)(2)"/>
      <sheetName val="8.1AgentL(setup)"/>
      <sheetName val="8.1AgentL(setup) (2)"/>
      <sheetName val="9.1AAgentL(setup)"/>
      <sheetName val="10.BIOS設定"/>
      <sheetName val="付録1 DPM構成"/>
      <sheetName val="単価"/>
      <sheetName val="Data"/>
    </sheetNames>
    <definedNames>
      <definedName name="Module1.kousu_check"/>
      <definedName name="Module2.Dialogopen"/>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B‘"/>
    </sheetNames>
    <definedNames>
      <definedName name="Module1.SEL_DEL"/>
      <definedName name="SHEET_COPY"/>
      <definedName name="TODAY1"/>
    </definedNames>
    <sheetDataSet>
      <sheetData sheetId="0"/>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RAID設定(1～4台)"/>
      <sheetName val="搭載図CAB1"/>
      <sheetName val="CABLE接続図(ﾗｯｸ名；MAWG k1)"/>
      <sheetName val="⑧MAWG1【増設】"/>
      <sheetName val="２設0128"/>
      <sheetName val="表紙（納入)"/>
      <sheetName val="変更歴"/>
      <sheetName val="目次"/>
      <sheetName val="1.1BSM(install)"/>
      <sheetName val="1.2BSM(set)(1)"/>
      <sheetName val="1.2BSM(set)(2)"/>
      <sheetName val="1.2BSM(set)(3)"/>
      <sheetName val="1.2BSM(set)(4)"/>
      <sheetName val="1.2BSM(set)(5)"/>
      <sheetName val="2.1DHCP"/>
      <sheetName val="2.2Webサーバ DPM"/>
      <sheetName val="2.2管理サーバ DPM(1)"/>
      <sheetName val="2.2管理サーバ DPM(2)"/>
      <sheetName val="2.2管理サーバ DPM(3)"/>
      <sheetName val="2.3DPM(set)(1)"/>
      <sheetName val="2.3DPM(set)(2)"/>
      <sheetName val="2.3DPM(set)(3)"/>
      <sheetName val="2.3DPM(set)(4)"/>
      <sheetName val="2.3DPM(set)"/>
      <sheetName val="3.CM(install)"/>
      <sheetName val="3.CM(set)"/>
      <sheetName val="4.DPMA"/>
      <sheetName val="5.JP1_NC M"/>
      <sheetName val="5.JP1_NC V"/>
      <sheetName val="5.JP1_NC A(1)"/>
      <sheetName val="5.JP1_NC A(2)"/>
      <sheetName val="5.JP1_NC A(3)"/>
      <sheetName val="6.1Agent(install)(1)"/>
      <sheetName val="6.2Agent(set)(1)"/>
      <sheetName val="6.2Agent(set)(2)"/>
      <sheetName val="6.2Agent(set)(3)"/>
      <sheetName val="7.1AAgent(install)(1)"/>
      <sheetName val="7.1AAgent(install)(2)"/>
      <sheetName val="8.1AgentL(setup)"/>
      <sheetName val="8.1AgentL(setup) (2)"/>
      <sheetName val="9.1AAgentL(setup)"/>
      <sheetName val="10.BIOS設定"/>
      <sheetName val="付録1 DPM構成"/>
      <sheetName val="PMレベル設定表"/>
      <sheetName val="PMS_DATA"/>
      <sheetName val="SB(東亜ゴム)（４Ｕ）"/>
    </sheetNames>
    <definedNames>
      <definedName name="Module3.housin2"/>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RAID設定(1～4台)"/>
      <sheetName val="搭載図CAB1"/>
      <sheetName val="CABLE接続図(ﾗｯｸ名；MAWG k1)"/>
      <sheetName val="⑧MAWG1【増設】"/>
      <sheetName val="SEISTEST"/>
      <sheetName val="M2_ﾒｲﾝﾒﾆｭｰ"/>
      <sheetName val="A_見積取纏表"/>
      <sheetName val="B_売切品協定価格計算書"/>
      <sheetName val="C_SR品(新規分)協定価格計算書"/>
      <sheetName val="D_構成ｼｰﾄ(P)"/>
      <sheetName val="E_構成ｼｰﾄ(SR)"/>
      <sheetName val="W_内販非対象品"/>
      <sheetName val="F_見積取纏表編集ｼｰﾄ (2)"/>
      <sheetName val="S_承認者登録"/>
      <sheetName val="表紙（納入)"/>
      <sheetName val="変更歴"/>
      <sheetName val="目次"/>
      <sheetName val="1.1BSM(install)"/>
      <sheetName val="1.2BSM(set)(1)"/>
      <sheetName val="1.2BSM(set)(2)"/>
      <sheetName val="1.2BSM(set)(3)"/>
      <sheetName val="1.2BSM(set)(4)"/>
      <sheetName val="1.2BSM(set)(5)"/>
      <sheetName val="2.1DHCP"/>
      <sheetName val="2.2Webサーバ DPM"/>
      <sheetName val="2.2管理サーバ DPM(1)"/>
      <sheetName val="2.2管理サーバ DPM(2)"/>
      <sheetName val="2.2管理サーバ DPM(3)"/>
      <sheetName val="2.3DPM(set)(1)"/>
      <sheetName val="2.3DPM(set)(2)"/>
      <sheetName val="2.3DPM(set)(3)"/>
      <sheetName val="2.3DPM(set)(4)"/>
      <sheetName val="2.3DPM(set)"/>
      <sheetName val="3.CM(install)"/>
      <sheetName val="3.CM(set)"/>
      <sheetName val="4.DPMA"/>
      <sheetName val="5.JP1_NC M"/>
      <sheetName val="5.JP1_NC V"/>
      <sheetName val="5.JP1_NC A(1)"/>
      <sheetName val="5.JP1_NC A(2)"/>
      <sheetName val="5.JP1_NC A(3)"/>
      <sheetName val="6.1Agent(install)(1)"/>
      <sheetName val="6.2Agent(set)(1)"/>
      <sheetName val="6.2Agent(set)(2)"/>
      <sheetName val="6.2Agent(set)(3)"/>
      <sheetName val="7.1AAgent(install)(1)"/>
      <sheetName val="7.1AAgent(install)(2)"/>
      <sheetName val="8.1AgentL(setup)"/>
      <sheetName val="8.1AgentL(setup) (2)"/>
      <sheetName val="9.1AAgentL(setup)"/>
      <sheetName val="10.BIOS設定"/>
      <sheetName val="付録1 DPM構成"/>
      <sheetName val="PMレベル設定表"/>
      <sheetName val="PMS_DATA"/>
      <sheetName val="内蔵HDD"/>
      <sheetName val="接続先ＦＴｻｰﾊﾞ開発機（HA070CR80）"/>
      <sheetName val="共通・定期サーバ本番機（HA270DF400）"/>
      <sheetName val="約定管理・定期預金サーバ開発機（HA070CR80）"/>
      <sheetName val="2.計画対象作業一覧取得（工程モデル）"/>
      <sheetName val="選択"/>
      <sheetName val="資格"/>
      <sheetName val="TITLE"/>
      <sheetName val="日立情報・ＮＳＤ（顧客・業共）"/>
      <sheetName val="日立情報・ＮＳＤ(定期・債券・投信）"/>
      <sheetName val="日立情報・ＮＳＤ (情報系) "/>
      <sheetName val="展開事項"/>
      <sheetName val="日立情報(ｗｋ）"/>
      <sheetName val="H17年度要員計画"/>
      <sheetName val="画面対応表"/>
    </sheetNames>
    <definedNames>
      <definedName name="yosan"/>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sheetData sheetId="57"/>
      <sheetData sheetId="58"/>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ピー~4"/>
    </sheetNames>
    <definedNames>
      <definedName name="Endmsg2"/>
    </defined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05C0F5F-EE02-44FD-8237-63D44E4B7700}" name="本番運用管理" displayName="本番運用管理" ref="B339:K348" totalsRowShown="0">
  <autoFilter ref="B339:K348" xr:uid="{D95E4D78-A8E2-45BC-9D9C-E823B0CD32A4}"/>
  <tableColumns count="10">
    <tableColumn id="1" xr3:uid="{70DE1159-17B1-4174-B4A9-A9596A349624}" name="アカウント" dataDxfId="180"/>
    <tableColumn id="8" xr3:uid="{6401622C-5B43-40F7-A950-11D8001E1A8D}" name="アカウントID" dataDxfId="179"/>
    <tableColumn id="9" xr3:uid="{877D5ECC-0C7A-4BD9-9054-7E83CCF08E37}" name="アカウント用途" dataDxfId="178"/>
    <tableColumn id="7" xr3:uid="{99355508-94C3-42E6-98F3-50D4A6B7203E}" name="VPC" dataDxfId="177"/>
    <tableColumn id="6" xr3:uid="{082887F6-18ED-4A31-ACBF-B4A12C4CB409}" name="VPC ID" dataDxfId="176"/>
    <tableColumn id="5" xr3:uid="{AF74D957-ACFE-4557-9736-6EC105BC9790}" name="サブネット" dataDxfId="175"/>
    <tableColumn id="2" xr3:uid="{3C5D4BDA-4066-4BB7-B974-5D282EB3085A}" name="アベイラビリティゾーン" dataDxfId="174"/>
    <tableColumn id="3" xr3:uid="{B0FC6072-5530-4478-A4FF-C40EBB2B6BDC}" name="検索Key" dataDxfId="173">
      <calculatedColumnFormula>$E$340&amp;"-"&amp;本番運用管理[[#This Row],[サブネット]]</calculatedColumnFormula>
    </tableColumn>
    <tableColumn id="10" xr3:uid="{2DD2F38C-0AE4-4E36-820F-4E8EC08B081A}" name="CIDR" dataDxfId="172"/>
    <tableColumn id="11" xr3:uid="{5F215F2B-15D2-4701-A629-BDA1EBA953DC}" name="サブネットID" dataDxfId="1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C4F842F-44A1-46BE-BAEC-BA19C58D7CAB}" name="開発運用管理" displayName="開発運用管理" ref="B355:K360" totalsRowShown="0" headerRowDxfId="170">
  <autoFilter ref="B355:K360" xr:uid="{E2A7E1F0-91C1-435F-8D49-50CD1C8AAB45}"/>
  <tableColumns count="10">
    <tableColumn id="1" xr3:uid="{0F9B06AB-E3E7-4C84-80A1-575344DAC916}" name="アカウント" dataDxfId="169"/>
    <tableColumn id="2" xr3:uid="{6685D2D1-8A6C-4677-871E-6B5850134BD4}" name="アカウントID" dataDxfId="168"/>
    <tableColumn id="3" xr3:uid="{B3A15000-AF83-4428-BDDA-FCE537F25A2B}" name="アカウント用途" dataDxfId="167"/>
    <tableColumn id="4" xr3:uid="{DD4956BC-D3E7-43E6-BDFF-3EA28A634A5D}" name="VPC" dataDxfId="166"/>
    <tableColumn id="5" xr3:uid="{B19A1C2E-0B14-4B9A-918F-5DC47A8A5394}" name="VPC ID" dataDxfId="165"/>
    <tableColumn id="6" xr3:uid="{C0E2C994-260D-422A-B3A4-93EC34CF4F4C}" name="サブネット" dataDxfId="164"/>
    <tableColumn id="7" xr3:uid="{3E08D1EE-FFCF-470A-844C-B2ECE55DBD8E}" name="アベイラビリティゾーン" dataDxfId="163"/>
    <tableColumn id="8" xr3:uid="{61576967-5773-41BE-94C0-42024BE44028}" name="検索Key" dataDxfId="162">
      <calculatedColumnFormula>$E$356&amp;"-"&amp;開発運用管理[[#This Row],[サブネット]]</calculatedColumnFormula>
    </tableColumn>
    <tableColumn id="9" xr3:uid="{61EF651D-D5B4-4E93-9730-8E973EC41D52}" name="CIDR" dataDxfId="161"/>
    <tableColumn id="10" xr3:uid="{169B8121-25DF-4259-BF6D-73840BEFCEDD}" name="サブネットID" dataDxfId="1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09DC4F6-2924-4E57-80B0-6AAF14F146D4}" name="本番標準内部" displayName="本番標準内部" ref="B363:K369" totalsRowShown="0" headerRowDxfId="159">
  <autoFilter ref="B363:K369" xr:uid="{C618B30C-E85D-425D-A086-3901BA60664B}"/>
  <tableColumns count="10">
    <tableColumn id="1" xr3:uid="{BD2325D7-7A09-49CB-B9E0-E3C8ACB659A8}" name="アカウント" dataDxfId="158"/>
    <tableColumn id="2" xr3:uid="{06F14F61-D19B-42D3-AE9E-7040BDE98C5A}" name="アカウントID" dataDxfId="157"/>
    <tableColumn id="3" xr3:uid="{C0A267FB-B678-437F-BD4C-678FFACA3C56}" name="アカウント用途" dataDxfId="156"/>
    <tableColumn id="4" xr3:uid="{85D2B297-995D-4B52-B176-61D65ECCEDC2}" name="VPC" dataDxfId="155"/>
    <tableColumn id="5" xr3:uid="{3E81A0F7-116D-44D7-BDBB-6221D4FB1496}" name="VPC ID" dataDxfId="154"/>
    <tableColumn id="6" xr3:uid="{B5B81387-8F8D-46BF-969A-E50B40182E09}" name="サブネット" dataDxfId="153"/>
    <tableColumn id="7" xr3:uid="{67DE4A32-8F7E-468A-B227-38D57391C551}" name="アベイラビリティゾーン" dataDxfId="152"/>
    <tableColumn id="8" xr3:uid="{8F1F1FE5-F7BD-448F-81CB-083982E1B30C}" name="検索Key" dataDxfId="151">
      <calculatedColumnFormula>$E$364&amp;"-"&amp;本番標準内部[[#This Row],[サブネット]]</calculatedColumnFormula>
    </tableColumn>
    <tableColumn id="9" xr3:uid="{6720A519-DA46-4805-B5B4-F10B7D6155A9}" name="CIDR" dataDxfId="150"/>
    <tableColumn id="10" xr3:uid="{293319F1-3B29-4B71-B429-A5BB8BDE6864}" name="サブネットID" dataDxfId="14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E1F11B1D-EB8D-4159-88D9-E715F0EA70BA}" name="本番標準外部" displayName="本番標準外部" ref="B372:K381" totalsRowShown="0" headerRowDxfId="148">
  <autoFilter ref="B372:K381" xr:uid="{B3BBF7FA-26A6-4A5E-B6CC-FFE7C66342D8}"/>
  <tableColumns count="10">
    <tableColumn id="1" xr3:uid="{B76CE705-DE8B-4A97-963D-B3C7D1F9A961}" name="アカウント" dataDxfId="147"/>
    <tableColumn id="2" xr3:uid="{5E9112FE-1A6D-424D-8E35-04FD9F1659AF}" name="アカウントID" dataDxfId="146"/>
    <tableColumn id="3" xr3:uid="{7925DF72-2294-4C54-B1D8-401C71340E42}" name="アカウント用途" dataDxfId="145"/>
    <tableColumn id="4" xr3:uid="{0EE6AA95-0F50-4DD1-A150-8801B2CFA7B4}" name="VPC" dataDxfId="144"/>
    <tableColumn id="5" xr3:uid="{D330699A-41B8-4894-9C4D-3EE9FCA4DE6F}" name="VPC ID" dataDxfId="143"/>
    <tableColumn id="6" xr3:uid="{8605AEEA-F9A5-46F3-944E-C4D37DF80EA3}" name="サブネット" dataDxfId="142"/>
    <tableColumn id="7" xr3:uid="{6F8ED54C-9E76-4E21-B272-B21331010412}" name="アベイラビリティゾーン" dataDxfId="141"/>
    <tableColumn id="8" xr3:uid="{E320A16C-DFB0-4A14-8E38-E244C3C4EA1F}" name="検索Key" dataDxfId="140">
      <calculatedColumnFormula>$E$373&amp;"-"&amp;本番標準外部[[#This Row],[サブネット]]</calculatedColumnFormula>
    </tableColumn>
    <tableColumn id="9" xr3:uid="{66E79A60-F3E9-4FDA-A747-384F97572DE9}" name="CIDR" dataDxfId="139"/>
    <tableColumn id="10" xr3:uid="{8948D54A-07E6-4E42-8E0B-935D97251CA6}" name="サブネットID" dataDxfId="1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6412244-3153-4B2A-8FA4-CEA57CEB8A03}" name="開発標準内部" displayName="開発標準内部" ref="B384:K390" totalsRowShown="0" headerRowDxfId="137">
  <autoFilter ref="B384:K390" xr:uid="{6425E3B9-4D62-4110-B8A0-4DB9A577B598}"/>
  <tableColumns count="10">
    <tableColumn id="1" xr3:uid="{765980E1-57B4-439A-B12F-775024273977}" name="アカウント"/>
    <tableColumn id="2" xr3:uid="{4D4393B2-60BF-4532-ACCF-E4FCF23D7680}" name="アカウントID"/>
    <tableColumn id="3" xr3:uid="{7497C746-5B4C-47C2-8845-97F0AE255027}" name="アカウント用途"/>
    <tableColumn id="4" xr3:uid="{1FD916F7-7452-4250-977D-732E4DB86B10}" name="VPC"/>
    <tableColumn id="5" xr3:uid="{0F155058-5AED-44D4-A166-0694F3ECD52D}" name="VPC ID" dataDxfId="136"/>
    <tableColumn id="6" xr3:uid="{3B66D444-F3E2-4161-B974-3E763AA2C49B}" name="サブネット" dataDxfId="135"/>
    <tableColumn id="7" xr3:uid="{BDDE787D-691E-4FDD-968A-08A79ED3D11E}" name="アベイラビリティゾーン" dataDxfId="134"/>
    <tableColumn id="8" xr3:uid="{AACD1085-8AEB-437C-B900-203C93151A5C}" name="検索Key" dataDxfId="133">
      <calculatedColumnFormula>$E$385&amp;"-"&amp;開発標準内部[[#This Row],[サブネット]]</calculatedColumnFormula>
    </tableColumn>
    <tableColumn id="9" xr3:uid="{000DA957-084D-4F0D-BE2F-67AB7E919CB7}" name="CIDR" dataDxfId="132"/>
    <tableColumn id="10" xr3:uid="{8463C6A5-E915-4159-85EE-7037E3147F2A}" name="サブネットID" dataDxfId="13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3493959-BF77-4F03-A206-FAAD9CF67352}" name="開発標準外部" displayName="開発標準外部" ref="B393:K400" totalsRowShown="0" headerRowDxfId="130">
  <autoFilter ref="B393:K400" xr:uid="{BF9BDEB6-65C1-4D57-B05A-039C4020C252}"/>
  <tableColumns count="10">
    <tableColumn id="1" xr3:uid="{985F3D44-9EF5-4C1A-845A-5BA2C149A870}" name="アカウント"/>
    <tableColumn id="2" xr3:uid="{6EFC2480-523D-4C35-949B-6E929842B9FB}" name="アカウントID"/>
    <tableColumn id="3" xr3:uid="{9E2F412D-24E2-4271-873F-07AC42D2C583}" name="アカウント用途"/>
    <tableColumn id="4" xr3:uid="{3067CF76-05B6-40F6-9D3C-58C280817268}" name="VPC"/>
    <tableColumn id="5" xr3:uid="{28C30482-A7B4-49CC-856A-FFBD29052AD0}" name="VPC ID" dataDxfId="129"/>
    <tableColumn id="6" xr3:uid="{0B8D2195-4AA5-4817-BF00-9E23E2DB79A5}" name="サブネット" dataDxfId="128"/>
    <tableColumn id="7" xr3:uid="{FB2323CD-381E-4D7E-A168-6D3A2E13EC99}" name="アベイラビリティゾーン" dataDxfId="127"/>
    <tableColumn id="8" xr3:uid="{37C90870-EB27-491B-9309-73CAA060B165}" name="検索Key" dataDxfId="126">
      <calculatedColumnFormula>$E$394&amp;"-"&amp;開発標準外部[[#This Row],[サブネット]]</calculatedColumnFormula>
    </tableColumn>
    <tableColumn id="9" xr3:uid="{947D945D-4B6F-4052-AFAF-1CE2F8A47427}" name="CIDR" dataDxfId="125"/>
    <tableColumn id="10" xr3:uid="{66E48B6E-1975-4F3A-B39A-8BD3FAEC3FDE}" name="サブネットID" dataDxfId="1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2F536AC-A15F-4D02-97C5-43393B6A0F9C}" name="本番SAP内部" displayName="本番SAP内部" ref="B403:K408" totalsRowShown="0" headerRowDxfId="123">
  <autoFilter ref="B403:K408" xr:uid="{AFC2FBA9-1061-4D3F-8962-A80569972816}"/>
  <tableColumns count="10">
    <tableColumn id="1" xr3:uid="{7F28AD1C-3ADA-493B-AC98-9807B6C2134E}" name="アカウント"/>
    <tableColumn id="2" xr3:uid="{ABA93BC5-D3CE-45CA-A312-FC8C6ECD1B70}" name="アカウントID"/>
    <tableColumn id="3" xr3:uid="{4269A876-1363-4B7B-B204-4A01986E60EE}" name="アカウント用途"/>
    <tableColumn id="4" xr3:uid="{A82FD542-9DB6-4663-8FB9-4B0966508CFB}" name="VPC"/>
    <tableColumn id="5" xr3:uid="{02C794F4-CDB2-4B05-BB92-AE3F5AF046FF}" name="VPC ID" dataDxfId="122"/>
    <tableColumn id="6" xr3:uid="{C0442988-F3E5-4217-9C04-94215F8AB163}" name="サブネット" dataDxfId="121"/>
    <tableColumn id="7" xr3:uid="{AD649304-2ECB-4925-851D-5492141225B1}" name="アベイラビリティゾーン" dataDxfId="120"/>
    <tableColumn id="8" xr3:uid="{D37AD9EF-104A-44C4-9E25-EA58DBE2553A}" name="検索Key" dataDxfId="119">
      <calculatedColumnFormula>$E$404&amp;"-"&amp;本番SAP内部[[#This Row],[サブネット]]</calculatedColumnFormula>
    </tableColumn>
    <tableColumn id="9" xr3:uid="{FA10DA97-2CEF-48C8-8DB0-40CE897F8F16}" name="CIDR" dataDxfId="118"/>
    <tableColumn id="10" xr3:uid="{8176CF27-E40A-4FDC-AE2E-E3627D620219}" name="サブネットID" dataDxfId="1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5B13C98C-87F5-49AA-A9F0-F5F4B0714C2E}" name="開発SAP内部" displayName="開発SAP内部" ref="B411:K416" totalsRowShown="0" headerRowDxfId="116">
  <autoFilter ref="B411:K416" xr:uid="{C0FC9688-0CE6-48B7-8337-3C874B96207D}"/>
  <tableColumns count="10">
    <tableColumn id="1" xr3:uid="{B0934734-D0AE-49EE-BFBE-6A77A1D1A0C3}" name="アカウント"/>
    <tableColumn id="2" xr3:uid="{BDC65E06-663B-4B7D-BD37-B04C5AF70067}" name="アカウントID"/>
    <tableColumn id="3" xr3:uid="{76D01FF3-B616-48F3-A5CE-0EC78EFEE406}" name="アカウント用途"/>
    <tableColumn id="4" xr3:uid="{C8D37CAE-5143-4F0A-BADF-BDC9BAE23600}" name="VPC"/>
    <tableColumn id="5" xr3:uid="{DE4DA903-9E49-484C-B854-8B8C507A9AFC}" name="VPC ID" dataDxfId="115"/>
    <tableColumn id="6" xr3:uid="{5FB9B801-F74E-49D8-A688-DF98879C6409}" name="サブネット" dataDxfId="114"/>
    <tableColumn id="7" xr3:uid="{0CA4B179-1339-4119-9817-1F78DFC44CBC}" name="アベイラビリティゾーン" dataDxfId="113"/>
    <tableColumn id="8" xr3:uid="{00158717-0D47-4275-AD7C-53C86840AF57}" name="検索Key" dataDxfId="112">
      <calculatedColumnFormula>$E$412&amp;"-"&amp;開発SAP内部[[#This Row],[サブネット]]</calculatedColumnFormula>
    </tableColumn>
    <tableColumn id="9" xr3:uid="{90FC75F7-3F58-439C-A9B3-FD47B7798FAF}" name="CIDR" dataDxfId="111"/>
    <tableColumn id="10" xr3:uid="{9CF72710-D1C2-4649-A4E3-09B18FAE978D}" name="サブネットID" dataDxfId="11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908656E-36C7-49A7-9724-D9D257A271CE}" name="本番SAP外部" displayName="本番SAP外部" ref="B419:K426" totalsRowShown="0" headerRowDxfId="109">
  <autoFilter ref="B419:K426" xr:uid="{4EFE98EC-1494-4965-8B64-5648B682BB59}"/>
  <tableColumns count="10">
    <tableColumn id="1" xr3:uid="{B75CF41A-AFE7-4793-B3A5-3D914E0CCC02}" name="アカウント"/>
    <tableColumn id="2" xr3:uid="{7CAE53D5-C6D1-4E5D-A588-E789DD2EEBC1}" name="アカウントID"/>
    <tableColumn id="3" xr3:uid="{B384377A-182C-4E21-A3E4-8CDB098D32C0}" name="アカウント用途"/>
    <tableColumn id="4" xr3:uid="{8550F414-181B-475C-A51A-20FA432B7387}" name="VPC"/>
    <tableColumn id="5" xr3:uid="{024E2FC3-C06A-46FC-9104-D058514485B9}" name="VPC ID" dataDxfId="108"/>
    <tableColumn id="6" xr3:uid="{BE934C67-AE43-435F-BC13-8B60486BFB7F}" name="サブネット" dataDxfId="107"/>
    <tableColumn id="7" xr3:uid="{A4134574-547B-43FC-B509-B8BF896A1087}" name="アベイラビリティゾーン" dataDxfId="106"/>
    <tableColumn id="8" xr3:uid="{77227CB1-6F34-458E-8A48-17EDBB3D8A58}" name="検索Key" dataDxfId="105">
      <calculatedColumnFormula>$E$420&amp;"-"&amp;本番SAP外部[[#This Row],[サブネット]]</calculatedColumnFormula>
    </tableColumn>
    <tableColumn id="9" xr3:uid="{A4FA6D8D-EBF2-4787-89D1-1449DF4A1452}" name="CIDR" dataDxfId="104"/>
    <tableColumn id="10" xr3:uid="{D07C34DF-A6B8-4071-8D6B-AA78338FC430}" name="サブネットID" dataDxfId="10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D495DE9-49C1-4CAE-A75D-8E71048DA02B}" name="開発SAP外部" displayName="開発SAP外部" ref="B429:K436" totalsRowShown="0" headerRowDxfId="102">
  <autoFilter ref="B429:K436" xr:uid="{B012B4FA-56E5-4047-96C0-A710BA254F95}"/>
  <tableColumns count="10">
    <tableColumn id="1" xr3:uid="{592714AB-7386-481B-A0FB-351D2815D6D2}" name="アカウント"/>
    <tableColumn id="2" xr3:uid="{61BFB374-B05B-4A0F-9B71-4C1077331736}" name="アカウントID"/>
    <tableColumn id="3" xr3:uid="{ADC41C7D-FC73-4C45-80D5-D37D5365B684}" name="アカウント用途"/>
    <tableColumn id="4" xr3:uid="{927E82AA-C345-4DF4-87A6-6D5D459B4A37}" name="VPC"/>
    <tableColumn id="5" xr3:uid="{DF00EF33-40CC-4F22-8D55-2A796AF6F972}" name="VPC ID" dataDxfId="101"/>
    <tableColumn id="6" xr3:uid="{CF891BC1-C921-4190-A41E-3C09B36F6A3B}" name="サブネット" dataDxfId="100"/>
    <tableColumn id="7" xr3:uid="{AF59D6CD-42F4-40AF-ADF0-80A948016189}" name="アベイラビリティゾーン" dataDxfId="99"/>
    <tableColumn id="8" xr3:uid="{3A906DFD-E208-4451-8370-6C32488F5B00}" name="検索Key" dataDxfId="98">
      <calculatedColumnFormula>$E$430&amp;"-"&amp;開発SAP外部[[#This Row],[サブネット]]</calculatedColumnFormula>
    </tableColumn>
    <tableColumn id="9" xr3:uid="{8B49874A-4589-4F6D-A780-042F258B8B94}" name="CIDR" dataDxfId="97"/>
    <tableColumn id="10" xr3:uid="{A091323B-3C12-4837-B0F7-DE9CAED61CE9}" name="サブネットID" dataDxfId="9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40A3AFF-E326-4995-A1AF-C00399E0D6B2}" name="本番リシテア内部" displayName="本番リシテア内部" ref="B439:K445" totalsRowShown="0" headerRowDxfId="95">
  <autoFilter ref="B439:K445" xr:uid="{421C7DAF-0D90-4668-9F56-6E55A434EADA}"/>
  <tableColumns count="10">
    <tableColumn id="1" xr3:uid="{E7445CA3-3C3E-4112-924C-0FE257B3B791}" name="アカウント"/>
    <tableColumn id="2" xr3:uid="{CFB504E6-0CC8-4ACC-9E2B-13285CCDE4B9}" name="アカウントID"/>
    <tableColumn id="3" xr3:uid="{75736294-DB29-4371-BBA4-BFB45758BD88}" name="アカウント用途"/>
    <tableColumn id="4" xr3:uid="{7271217F-3D9B-4B51-902C-19BEE0F9115B}" name="VPC"/>
    <tableColumn id="5" xr3:uid="{1DB5B6C6-1A10-4136-902B-C66DC1C7F542}" name="VPC ID" dataDxfId="94"/>
    <tableColumn id="6" xr3:uid="{59900B9A-A597-495D-BE2A-E6E13E8A0F40}" name="サブネット" dataDxfId="93"/>
    <tableColumn id="7" xr3:uid="{C084706E-5159-4CC3-9F20-EBDC74A5DDEB}" name="アベイラビリティゾーン" dataDxfId="92"/>
    <tableColumn id="8" xr3:uid="{703C5650-62F7-4A10-96F9-45308BA0E2EA}" name="検索Key" dataDxfId="91">
      <calculatedColumnFormula>$E$440&amp;"-"&amp;本番リシテア内部[[#This Row],[サブネット]]</calculatedColumnFormula>
    </tableColumn>
    <tableColumn id="9" xr3:uid="{1826F8A6-43DE-406D-80FE-0F59A879CB2C}" name="CIDR" dataDxfId="90"/>
    <tableColumn id="10" xr3:uid="{244F5EBE-951C-49C8-9A36-05C119575B9A}" name="サブネットID" dataDxfId="8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7964A278-1073-4A49-A398-51831C470558}" name="開発リシテア内部" displayName="開発リシテア内部" ref="B448:K454" totalsRowShown="0" headerRowDxfId="88">
  <autoFilter ref="B448:K454" xr:uid="{D61375B4-3AF4-4581-95AB-197407E56307}"/>
  <tableColumns count="10">
    <tableColumn id="1" xr3:uid="{F0D0969F-93DF-4F5D-B518-64E4643ABA4A}" name="アカウント"/>
    <tableColumn id="2" xr3:uid="{46CD2B09-EA00-409B-A535-1EFE18B19153}" name="アカウントID"/>
    <tableColumn id="3" xr3:uid="{57C9AC45-EC73-49BE-9D6D-CAE6A6349098}" name="アカウント用途"/>
    <tableColumn id="4" xr3:uid="{A1B7C323-93CF-4E52-8628-CF9362E5CAA3}" name="VPC"/>
    <tableColumn id="5" xr3:uid="{B2F99CC5-8BDC-4FD2-84DE-590BDB77CF6C}" name="VPC ID" dataDxfId="87"/>
    <tableColumn id="6" xr3:uid="{74C0F404-EBF3-4D71-B91D-0192702AF50D}" name="サブネット" dataDxfId="86"/>
    <tableColumn id="7" xr3:uid="{2F259A08-90DC-4904-86BE-D85F13125FBC}" name="アベイラビリティゾーン" dataDxfId="85"/>
    <tableColumn id="8" xr3:uid="{6EE9C7E7-0561-47E3-97E2-D6E85C4DB878}" name="検索Key" dataDxfId="84">
      <calculatedColumnFormula>$E$449&amp;"-"&amp;開発リシテア内部[[#This Row],[サブネット]]</calculatedColumnFormula>
    </tableColumn>
    <tableColumn id="9" xr3:uid="{95C43961-EA86-4521-B484-B6C5DBC77D37}" name="CIDR" dataDxfId="83"/>
    <tableColumn id="10" xr3:uid="{C0130B4D-8C3A-4FC0-A72F-BCF1436C2C2F}" name="サブネットID" dataDxfId="8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E5A2DC0-E829-4C53-8771-48AFF14082A6}" name="内部" displayName="内部" ref="B102:B104" totalsRowShown="0">
  <autoFilter ref="B102:B104" xr:uid="{4B4A6AFD-87B6-48FD-990C-45972520B5CD}"/>
  <tableColumns count="1">
    <tableColumn id="1" xr3:uid="{FDCD339D-108D-4488-B405-8102F05322DF}" name="サブネット"/>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712B93BF-1344-4FA6-BFD9-109D2A278A20}" name="外部" displayName="外部" ref="B107:B110" totalsRowShown="0">
  <autoFilter ref="B107:B110" xr:uid="{66959DE8-2D20-4407-9BD4-BA3482EFB1A2}"/>
  <tableColumns count="1">
    <tableColumn id="1" xr3:uid="{AFE99476-2D56-4019-83E9-FB5D77BB3BAF}" name="サブネット"/>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FEDB1E7-852E-4319-8774-DA61A2FDD049}" name="インスタンスタイプ" displayName="インスタンスタイプ" ref="B228:F306" totalsRowShown="0">
  <autoFilter ref="B228:F306" xr:uid="{6FEDB1E7-852E-4319-8774-DA61A2FDD049}"/>
  <sortState xmlns:xlrd2="http://schemas.microsoft.com/office/spreadsheetml/2017/richdata2" ref="B229:F288">
    <sortCondition ref="E228:E288"/>
  </sortState>
  <tableColumns count="5">
    <tableColumn id="1" xr3:uid="{54A7C1D6-F3F1-4428-B777-C1BDAC88E007}" name="表示" dataDxfId="81">
      <calculatedColumnFormula>インスタンスタイプ[[#This Row],[名前]]&amp;" ("&amp;インスタンスタイプ[[#This Row],[種別]]&amp;")"&amp;" ["&amp;インスタンスタイプ[[#This Row],[vCPU]]&amp;"vCPU"&amp;"："&amp;インスタンスタイプ[[#This Row],[Memory]]&amp;"GiB] "</calculatedColumnFormula>
    </tableColumn>
    <tableColumn id="2" xr3:uid="{4D2103F8-4D35-48F4-ABD9-32703D20D514}" name="種別" dataDxfId="80"/>
    <tableColumn id="3" xr3:uid="{3424A315-D606-40A0-B39F-2374DB45222E}" name="名前" dataDxfId="79"/>
    <tableColumn id="4" xr3:uid="{25F2BA9F-8D40-4F5C-BC7C-70C0E879367B}" name="vCPU" dataDxfId="78"/>
    <tableColumn id="5" xr3:uid="{76A7A42A-D7AC-4925-B095-B97842A8D63B}" name="Memory" dataDxfId="7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34C9167-5A9B-4991-B901-69645182FF9B}" name="OS_Windows" displayName="OS_Windows" ref="B139:C186" totalsRowShown="0">
  <autoFilter ref="B139:C186" xr:uid="{96B1CC4A-C6E8-4008-BE96-86FD258290FF}"/>
  <tableColumns count="2">
    <tableColumn id="1" xr3:uid="{067FF849-50DF-4D17-B680-34835DDBA2B3}" name="OS"/>
    <tableColumn id="2" xr3:uid="{4A383B7A-2F44-431E-A936-C52DE518161E}" name="AMI" dataDxfId="7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C066DF14-6176-49E2-B921-69DA29CC6E9B}" name="OS_Linux" displayName="OS_Linux" ref="B191:C213" totalsRowShown="0">
  <autoFilter ref="B191:C213" xr:uid="{9E0BAECF-B37C-4C08-8C76-7DEEA6BE0E6C}"/>
  <tableColumns count="2">
    <tableColumn id="1" xr3:uid="{4E1D67DA-1F62-4147-A0CF-A4CE84AB69C8}" name="OS"/>
    <tableColumn id="2" xr3:uid="{026AA4F8-6BC3-4DAA-8138-981927F665DC}" name="AMI" dataDxfId="7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77FF705-E7DB-4BDA-A2DE-8089C1F49704}" name="アベイラビリティゾーン_tyo" displayName="アベイラビリティゾーン_tyo" ref="B113:B116" totalsRowShown="0">
  <autoFilter ref="B113:B116" xr:uid="{43412ECE-7F60-4D84-BE39-0D20FB44E006}"/>
  <tableColumns count="1">
    <tableColumn id="1" xr3:uid="{8775102C-1238-40FF-8C37-C9F989918E3D}" name="アベイラビリティゾーン"/>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B7E5ECBB-95AC-4053-920F-055D1E410CA6}" name="IAMRole" displayName="IAMRole" ref="B223:C225" totalsRowShown="0">
  <autoFilter ref="B223:C225" xr:uid="{E808F273-84B4-4402-A4B3-3036D09BD863}"/>
  <tableColumns count="2">
    <tableColumn id="1" xr3:uid="{1C389ABB-C24F-4A7C-88F6-4D05F89540B3}" name="Windows"/>
    <tableColumn id="2" xr3:uid="{79555264-0368-4B70-A60E-25D56E794862}" name="Linux" dataDxfId="7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9C3D29E-982E-4B36-AEEC-4B07EB218E7C}" name="環境種類" displayName="環境種類" ref="B320:C327" totalsRowShown="0">
  <autoFilter ref="B320:C327" xr:uid="{A267F5B3-63E5-4B83-8F29-610E1E6E8D55}"/>
  <tableColumns count="2">
    <tableColumn id="1" xr3:uid="{EC4611C4-2AFA-4031-929E-5A0C1C38486A}" name="環境種類" dataDxfId="73"/>
    <tableColumn id="2" xr3:uid="{093B0BA3-79F6-4059-B4BB-AE5D1379B6FF}" name="略称" dataDxfId="7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CE30AD0A-A7D3-4526-9356-7ABD58007F84}" name="会社コード" displayName="会社コード" ref="D320:D323" totalsRowShown="0" headerRowDxfId="71" dataDxfId="70">
  <autoFilter ref="D320:D323" xr:uid="{BD12C461-3DAF-4215-A1F8-95E880BA2955}"/>
  <tableColumns count="1">
    <tableColumn id="1" xr3:uid="{293FDF0F-3CBC-4EC0-8251-796A32432D6C}" name="会社コード" dataDxfId="6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358E173-A65B-429B-8353-3B8D99489FD0}" name="AWSリージョン" displayName="AWSリージョン" ref="E320:F321" totalsRowShown="0">
  <autoFilter ref="E320:F321" xr:uid="{BBF67333-D173-423B-B9AD-7E8C35570D1F}"/>
  <tableColumns count="2">
    <tableColumn id="1" xr3:uid="{6701BF6C-8581-42DB-866B-E8EA7EA7799F}" name="AWSリージョン"/>
    <tableColumn id="2" xr3:uid="{5CADABDF-6331-4E7F-A46E-B91D589ECEC8}" name="略称"/>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9130683-C191-4EA8-B39D-C31854BA71C8}" name="サーバ種類" displayName="サーバ種類" ref="G320:G324" totalsRowShown="0">
  <autoFilter ref="G320:G324" xr:uid="{CC3477AB-161D-4661-8FAE-96C19DE50251}"/>
  <tableColumns count="1">
    <tableColumn id="1" xr3:uid="{59DEB0FA-0128-4EAD-A741-1A3812019878}" name="サーバ種類"/>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31413223-44DD-4B1A-BFAB-DDB1AC086BAB}" name="EBSボリュームタイプ" displayName="EBSボリュームタイプ" ref="B310:B317" totalsRowShown="0">
  <autoFilter ref="B310:B317" xr:uid="{31413223-44DD-4B1A-BFAB-DDB1AC086BAB}"/>
  <tableColumns count="1">
    <tableColumn id="1" xr3:uid="{17531A0B-BEFE-4DB8-B464-5860B97B486C}" name="ボリュームタイプ"/>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CA57F-C49D-4194-B8C6-C31A9FE73428}" name="アカウント本番外部" displayName="アカウント本番外部" ref="B44:D48" totalsRowShown="0">
  <autoFilter ref="B44:D48" xr:uid="{40ECA57F-C49D-4194-B8C6-C31A9FE73428}"/>
  <tableColumns count="3">
    <tableColumn id="1" xr3:uid="{2200E3B9-F320-45BA-84A3-A06A603E92E4}" name="用途"/>
    <tableColumn id="2" xr3:uid="{C7BACF17-B930-4FC6-B712-17CB4E602D94}" name="アカウント名"/>
    <tableColumn id="3" xr3:uid="{C5868204-F2E7-4D82-95E2-2BB2AB0B9332}" name="表示名" dataDxfId="68">
      <calculatedColumnFormula>アカウント本番外部[[#This Row],[アカウント名]]&amp;" ("&amp;アカウント本番外部[[#This Row],[用途]]&amp;")"</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0C3385-B94F-48B2-989E-F30158342224}" name="アカウント本番内部" displayName="アカウント本番内部" ref="B51:D59" totalsRowShown="0">
  <autoFilter ref="B51:D59" xr:uid="{040C3385-B94F-48B2-989E-F30158342224}"/>
  <tableColumns count="3">
    <tableColumn id="1" xr3:uid="{DC78E187-E02B-4F95-A0F5-A269B9532965}" name="用途"/>
    <tableColumn id="2" xr3:uid="{35CAC3CC-E8E7-4F4D-B154-7C707680BCD9}" name="アカウント名"/>
    <tableColumn id="3" xr3:uid="{8DE33F0D-C4A4-47BC-95E3-356161537E84}" name="表示名" dataDxfId="67">
      <calculatedColumnFormula>アカウント本番内部[[#This Row],[アカウント名]]&amp;" ("&amp;アカウント本番内部[[#This Row],[用途]]&amp;")"</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C4F949-C674-474A-9B83-F9D491606D94}" name="アカウント開発外部" displayName="アカウント開発外部" ref="B62:D66" totalsRowShown="0">
  <autoFilter ref="B62:D66" xr:uid="{1FC4F949-C674-474A-9B83-F9D491606D94}"/>
  <tableColumns count="3">
    <tableColumn id="1" xr3:uid="{7C226D80-A7E0-4D77-9084-E321F9F7E6C3}" name="用途"/>
    <tableColumn id="2" xr3:uid="{33085F41-A951-417C-8F69-68B26EBCC812}" name="アカウント名"/>
    <tableColumn id="3" xr3:uid="{21BCC4DE-7020-4EAF-8A6D-9BC6C3E62487}" name="表示名" dataDxfId="66">
      <calculatedColumnFormula>アカウント開発外部[[#This Row],[アカウント名]]&amp;" ("&amp;アカウント開発外部[[#This Row],[用途]]&amp;")"</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A81A17-6E5A-4D02-B856-A99DFDA98630}" name="アカウント開発内部" displayName="アカウント開発内部" ref="B69:D80" totalsRowShown="0">
  <autoFilter ref="B69:D80" xr:uid="{4AA81A17-6E5A-4D02-B856-A99DFDA98630}"/>
  <tableColumns count="3">
    <tableColumn id="1" xr3:uid="{62B4AF4A-F000-4D62-B966-2BD012170532}" name="用途"/>
    <tableColumn id="2" xr3:uid="{B454970E-4F0E-4F2E-9E0B-E3FCDA784859}" name="アカウント名"/>
    <tableColumn id="3" xr3:uid="{0AAA4187-4FA8-4F4B-A084-0FD67F8ABF4D}" name="表示名" dataDxfId="65">
      <calculatedColumnFormula>アカウント開発内部[[#This Row],[アカウント名]]&amp;" ("&amp;アカウント開発内部[[#This Row],[用途]]&amp;")"</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2FCAEF-A5B6-43EB-9E50-CB415DC9CC61}" name="内部パブリックIPアドレス" displayName="内部パブリックIPアドレス" ref="C102:C103" totalsRowShown="0">
  <autoFilter ref="C102:C103" xr:uid="{DC2FCAEF-A5B6-43EB-9E50-CB415DC9CC61}"/>
  <tableColumns count="1">
    <tableColumn id="1" xr3:uid="{9FF20DC7-6833-4017-B647-B07B553108AB}" name="パブリックIPアドレス"/>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600CE5-A0AA-4F7E-9A21-C27A3D2043C2}" name="外部パブリックIPアドレス" displayName="外部パブリックIPアドレス" ref="C107:C109" totalsRowShown="0">
  <autoFilter ref="C107:C109" xr:uid="{00600CE5-A0AA-4F7E-9A21-C27A3D2043C2}"/>
  <tableColumns count="1">
    <tableColumn id="1" xr3:uid="{6EA54C71-3FFD-47F5-B3DF-7EDE9E68EFFB}" name="パブリックIPアドレス"/>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8A448-2949-4D8D-81B1-691B8C5AA56D}" name="ランドスケープ" displayName="ランドスケープ" ref="B83:C90" totalsRowShown="0">
  <autoFilter ref="B83:C90" xr:uid="{7738A448-2949-4D8D-81B1-691B8C5AA56D}"/>
  <tableColumns count="2">
    <tableColumn id="1" xr3:uid="{BCAF0E54-FAFA-4E99-BE06-39D36130DB21}" name="名前"/>
    <tableColumn id="2" xr3:uid="{D736C6D9-710D-4296-8BD5-1A3B66363A36}" name="略称"/>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1375E-5119-4F53-BD34-96473DCDFB4B}" name="リージョン" displayName="リージョン" ref="B93:C97" totalsRowShown="0">
  <autoFilter ref="B93:C97" xr:uid="{5471375E-5119-4F53-BD34-96473DCDFB4B}"/>
  <tableColumns count="2">
    <tableColumn id="1" xr3:uid="{155A5249-89EE-4BB5-B186-10FC2B2863C9}" name="名前"/>
    <tableColumn id="2" xr3:uid="{7B0311DE-6B78-441E-AFF0-A9F7DAF965F7}" name="略称"/>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0EFDC9-A5DC-4DC7-8856-348C491E51D4}" name="本番オールマイティ外部" displayName="本番オールマイティ外部" ref="B458:K464" totalsRowShown="0">
  <autoFilter ref="B458:K464" xr:uid="{930EFDC9-A5DC-4DC7-8856-348C491E51D4}"/>
  <tableColumns count="10">
    <tableColumn id="1" xr3:uid="{333A8835-2C74-4A59-96AA-DDD1A301665F}" name="アカウント"/>
    <tableColumn id="2" xr3:uid="{E48416E7-408B-4EBE-8364-B247777463AE}" name="アカウントID"/>
    <tableColumn id="3" xr3:uid="{C9426CB0-A9B8-4142-8512-1810E158744B}" name="カウント用途"/>
    <tableColumn id="4" xr3:uid="{A16DB724-D96A-475B-9897-6ABD86F60F3E}" name="VPC"/>
    <tableColumn id="5" xr3:uid="{16F7E87F-C659-4056-BB2D-AC5CABC360F8}" name="VPC ID"/>
    <tableColumn id="6" xr3:uid="{E06A0D55-3604-4F35-AD81-DD4351F48A94}" name="サブネット"/>
    <tableColumn id="7" xr3:uid="{E271BF07-F39E-4178-8233-268AD3D642F9}" name="アベイラビリティゾーン"/>
    <tableColumn id="8" xr3:uid="{6371DC20-E794-44A5-B920-351C3E2D6F0F}" name="検索Key">
      <calculatedColumnFormula>$E$459&amp;"-"&amp;本番オールマイティ外部[[#This Row],[サブネット]]</calculatedColumnFormula>
    </tableColumn>
    <tableColumn id="9" xr3:uid="{37D1C13F-1F4B-4C5C-8A34-F884A1B8A29F}" name="CIDR"/>
    <tableColumn id="10" xr3:uid="{A1D41ECC-B9A0-4621-9512-1A398C109590}" name="サブネットID"/>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4C25D56-CA6A-473A-81C3-CC322D8B2398}" name="開発オールマイティ外部" displayName="開発オールマイティ外部" ref="B467:K473" totalsRowShown="0">
  <autoFilter ref="B467:K473" xr:uid="{14C25D56-CA6A-473A-81C3-CC322D8B2398}"/>
  <tableColumns count="10">
    <tableColumn id="1" xr3:uid="{C0505533-43F3-4858-A07F-B2DD401C2F17}" name="アカウント"/>
    <tableColumn id="2" xr3:uid="{9B824D58-CC76-4326-B9B3-6D6FC24A3C8D}" name="アカウントID"/>
    <tableColumn id="3" xr3:uid="{54DF13B4-1B5D-4550-9B73-1D3527C2DA47}" name="カウント用途"/>
    <tableColumn id="4" xr3:uid="{8A9F471D-CEDC-488E-B7A8-173FED8D1340}" name="VPC"/>
    <tableColumn id="5" xr3:uid="{8D1816C4-8636-4EDC-A7A4-80CD5092F1AF}" name="VPC ID"/>
    <tableColumn id="6" xr3:uid="{4C1D5A96-5065-48A5-955C-27E14B6982F4}" name="サブネット"/>
    <tableColumn id="7" xr3:uid="{CFC4ACB5-86A8-4535-853E-FE3685893350}" name="アベイラビリティゾーン"/>
    <tableColumn id="8" xr3:uid="{E203844C-44A4-44CC-9587-18F003B88893}" name="検索Key">
      <calculatedColumnFormula>$E$468&amp;"-"&amp;開発オールマイティ外部[[#This Row],[サブネット]]</calculatedColumnFormula>
    </tableColumn>
    <tableColumn id="9" xr3:uid="{F95FB210-BF01-4517-A586-026C4286622C}" name="CIDR"/>
    <tableColumn id="10" xr3:uid="{36948FF2-F414-4D2C-B4B8-186A8443DE64}" name="サブネットID"/>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04DC128-492A-4257-A5F0-782A0A187D46}" name="アベイラビリティゾーン_sin" displayName="アベイラビリティゾーン_sin" ref="B131:B134" totalsRowShown="0">
  <autoFilter ref="B131:B134" xr:uid="{804DC128-492A-4257-A5F0-782A0A187D46}"/>
  <tableColumns count="1">
    <tableColumn id="1" xr3:uid="{F20B280D-ABD8-422A-86AE-6027812060C3}" name="アベイラビリティゾーン"/>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C8BA977-E195-4786-B72F-D9E3225A9939}" name="本番運用管理12" displayName="本番運用管理12" ref="B331:K336" totalsRowShown="0">
  <autoFilter ref="B331:K336" xr:uid="{0C8BA977-E195-4786-B72F-D9E3225A9939}"/>
  <tableColumns count="10">
    <tableColumn id="1" xr3:uid="{7D5598D6-2251-4B7A-B81A-FE0642315CBE}" name="アカウント" dataDxfId="64"/>
    <tableColumn id="8" xr3:uid="{F4D1BD19-4F7E-425B-9F87-69F8EA3ED624}" name="アカウントID" dataDxfId="63"/>
    <tableColumn id="9" xr3:uid="{3D6D071A-C580-40FF-BF85-575280F6B8B1}" name="アカウント用途" dataDxfId="62"/>
    <tableColumn id="7" xr3:uid="{3C6C4617-FE70-4010-A841-EF0520845B65}" name="VPC" dataDxfId="61"/>
    <tableColumn id="6" xr3:uid="{F9E3BCE9-A49A-4146-969A-1550E41E0142}" name="VPC ID" dataDxfId="60"/>
    <tableColumn id="5" xr3:uid="{FC1C1AEB-6A29-45C9-A9F4-49F2DAB68D4D}" name="サブネット" dataDxfId="59"/>
    <tableColumn id="2" xr3:uid="{814EF85F-DFA6-4CFE-863D-C6A9F960FD79}" name="アベイラビリティゾーン" dataDxfId="58"/>
    <tableColumn id="3" xr3:uid="{4D154487-2B1F-4BF2-8686-A225F7638926}" name="検索Key" dataDxfId="57">
      <calculatedColumnFormula>$E$332&amp;"-"&amp;本番運用管理12[[#This Row],[サブネット]]</calculatedColumnFormula>
    </tableColumn>
    <tableColumn id="10" xr3:uid="{E25E1231-43AA-4974-A2A4-B6626543E1E1}" name="CIDR" dataDxfId="56"/>
    <tableColumn id="11" xr3:uid="{0D8914DA-CFAA-4318-893E-E34D91FA5EEA}" name="サブネットID" dataDxfId="55"/>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6B50616-54EC-430F-8E27-DF5AFB396A7D}" name="本番オールマイティ外部14" displayName="本番オールマイティ外部14" ref="B477:K481" totalsRowShown="0">
  <autoFilter ref="B477:K481" xr:uid="{F6B50616-54EC-430F-8E27-DF5AFB396A7D}"/>
  <tableColumns count="10">
    <tableColumn id="1" xr3:uid="{ACFDCCF8-C979-4607-BA12-A729F513F17E}" name="アカウント"/>
    <tableColumn id="2" xr3:uid="{D412C104-65FF-4F8F-B375-22C54B7D3370}" name="アカウントID"/>
    <tableColumn id="3" xr3:uid="{9E5951B6-FD32-43D3-9337-C8A2F1952086}" name="カウント用途"/>
    <tableColumn id="4" xr3:uid="{AF9F0C3A-96C0-4691-A9BA-F629FDA2DBF4}" name="VPC"/>
    <tableColumn id="5" xr3:uid="{070E7D19-A7CA-4CF9-BE1F-2A4FA924E24A}" name="VPC ID"/>
    <tableColumn id="6" xr3:uid="{C77CC7E8-661B-4AF1-880B-5FC1978382B1}" name="サブネット"/>
    <tableColumn id="7" xr3:uid="{367B5B20-A040-4C0F-A207-2634EA99CFEE}" name="アベイラビリティゾーン"/>
    <tableColumn id="8" xr3:uid="{FF2E94F7-F4AB-4ECB-9CC1-20AB4DAC3B3D}" name="検索Key" dataDxfId="54">
      <calculatedColumnFormula>$E$478&amp;"-"&amp;本番オールマイティ外部14[[#This Row],[サブネット]]</calculatedColumnFormula>
    </tableColumn>
    <tableColumn id="9" xr3:uid="{98F47FCF-951D-4DB8-A686-C7B206359F6E}" name="CIDR"/>
    <tableColumn id="10" xr3:uid="{FF7590AC-8968-4470-A145-351B0435E2B5}" name="サブネットID"/>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694F7A1-153B-4FA2-9B27-C3B446BDCF95}" name="開発オールマイティ外部15" displayName="開発オールマイティ外部15" ref="B484:K488" totalsRowShown="0">
  <autoFilter ref="B484:K488" xr:uid="{3694F7A1-153B-4FA2-9B27-C3B446BDCF95}"/>
  <tableColumns count="10">
    <tableColumn id="1" xr3:uid="{3CACD4C2-1792-4144-9229-FCBE3B3BB4D6}" name="アカウント"/>
    <tableColumn id="2" xr3:uid="{0571F138-F253-4F7F-BB36-02060C42975D}" name="アカウントID"/>
    <tableColumn id="3" xr3:uid="{B3527FCC-C9D3-4EBE-B5B3-730072CFA1F0}" name="カウント用途"/>
    <tableColumn id="4" xr3:uid="{B7DFD50C-9956-4686-A7AF-F8E6DC4001DF}" name="VPC"/>
    <tableColumn id="5" xr3:uid="{677987E1-A5DF-48B2-A706-2263CE3832FF}" name="VPC ID"/>
    <tableColumn id="6" xr3:uid="{C077519F-C315-4C42-BF90-4D7520CFE12D}" name="サブネット"/>
    <tableColumn id="7" xr3:uid="{AD6F5293-FEDE-4C44-92DE-F4CC965B7891}" name="アベイラビリティゾーン"/>
    <tableColumn id="8" xr3:uid="{1817B02F-17D2-454B-A081-186819623D94}" name="検索Key" dataDxfId="53">
      <calculatedColumnFormula>$E$485&amp;"-"&amp;開発オールマイティ外部15[[#This Row],[サブネット]]</calculatedColumnFormula>
    </tableColumn>
    <tableColumn id="9" xr3:uid="{DD88093E-E20E-422A-B0E6-BBAC6114E2C9}" name="CIDR"/>
    <tableColumn id="10" xr3:uid="{0C8806CD-A7C0-4EDF-B730-F5314129D74F}" name="サブネットID"/>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79783A-FC89-4864-8D2D-591006C52B65}" name="アベイラビリティゾーン_fra" displayName="アベイラビリティゾーン_fra" ref="B125:B128" totalsRowShown="0">
  <autoFilter ref="B125:B128" xr:uid="{DE79783A-FC89-4864-8D2D-591006C52B65}"/>
  <tableColumns count="1">
    <tableColumn id="1" xr3:uid="{1669C2E3-56BC-422A-81C6-671B3F1E909D}" name="アベイラビリティゾーン"/>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A1A2A94-0B2D-4F49-9936-C57240047C90}" name="アベイラビリティゾーン_nvi" displayName="アベイラビリティゾーン_nvi" ref="B119:B122" totalsRowShown="0">
  <autoFilter ref="B119:B122" xr:uid="{CA1A2A94-0B2D-4F49-9936-C57240047C90}"/>
  <tableColumns count="1">
    <tableColumn id="1" xr3:uid="{84FB9366-2B84-49C7-B929-5EEAE1606353}" name="アベイラビリティゾーン"/>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DCAEA97-1CD4-4D22-9CC9-C81E9F31AEC3}" name="OS_Linux_fra" displayName="OS_Linux_fra" ref="B216:C217" totalsRowShown="0" headerRowBorderDxfId="52" tableBorderDxfId="51" totalsRowBorderDxfId="50">
  <autoFilter ref="B216:C217" xr:uid="{8DCAEA97-1CD4-4D22-9CC9-C81E9F31AEC3}"/>
  <tableColumns count="2">
    <tableColumn id="1" xr3:uid="{74250BB0-DB1B-43B2-B0AB-FF1B9AF7E6F9}" name="OS"/>
    <tableColumn id="2" xr3:uid="{ABFCA4F1-467E-4C0E-931B-46A4011C008D}" name="AMI"/>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A8952E0-B45A-4F19-8D92-1A83C7D43FFE}" name="開発オールマイティ外部1519" displayName="開発オールマイティ外部1519" ref="B491:K497" totalsRowShown="0">
  <autoFilter ref="B491:K497" xr:uid="{7A8952E0-B45A-4F19-8D92-1A83C7D43FFE}"/>
  <tableColumns count="10">
    <tableColumn id="1" xr3:uid="{4061591C-1A7D-430D-9350-A947A8B54CE8}" name="アカウント"/>
    <tableColumn id="2" xr3:uid="{34A0BC25-880D-4E27-9591-B5B33D87E838}" name="アカウントID"/>
    <tableColumn id="3" xr3:uid="{DDCA8DA6-795D-49D0-A482-5C57DBB5E8DD}" name="カウント用途"/>
    <tableColumn id="4" xr3:uid="{E7CBE3F8-6811-499E-9A7D-746D8EB3AAE7}" name="VPC"/>
    <tableColumn id="5" xr3:uid="{5A5A49B2-1826-46C0-BD3E-46B6E07F1442}" name="VPC ID"/>
    <tableColumn id="6" xr3:uid="{BE71033F-864B-4560-870C-04DFC6A5E937}" name="サブネット"/>
    <tableColumn id="7" xr3:uid="{1AE407A7-43E8-4257-8C19-EC7B9CB91348}" name="アベイラビリティゾーン"/>
    <tableColumn id="8" xr3:uid="{ED1B7298-8B2F-41F7-8F21-F687D8EC6D7D}" name="検索Key" dataDxfId="49">
      <calculatedColumnFormula>$E$492&amp;"-"&amp;開発オールマイティ外部1519[[#This Row],[サブネット]]</calculatedColumnFormula>
    </tableColumn>
    <tableColumn id="9" xr3:uid="{C4A0356C-FD67-4F42-BD08-D7BBB614354D}" name="CIDR"/>
    <tableColumn id="10" xr3:uid="{CD0E23D1-C4CA-4A92-B8B9-BDCF9A7835DF}" name="サブネットID"/>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63E5F86-FE2E-4F4C-9156-76CC9070BB87}" name="開発オールマイティ外部151920" displayName="開発オールマイティ外部151920" ref="B500:K506" totalsRowShown="0">
  <autoFilter ref="B500:K506" xr:uid="{763E5F86-FE2E-4F4C-9156-76CC9070BB87}"/>
  <tableColumns count="10">
    <tableColumn id="1" xr3:uid="{09807A1C-0ECF-45C5-A25E-35AA378233BA}" name="アカウント"/>
    <tableColumn id="2" xr3:uid="{1FA58192-40CD-4EA2-93B9-67C121962AB9}" name="アカウントID"/>
    <tableColumn id="3" xr3:uid="{C1C859F4-220F-42BB-814A-3700BA2650A6}" name="カウント用途"/>
    <tableColumn id="4" xr3:uid="{3A9BDF41-4241-4B8D-90DA-77AB32227FD9}" name="VPC"/>
    <tableColumn id="5" xr3:uid="{6E5CD698-BB35-45F3-9946-9B2C01C4BCC6}" name="VPC ID"/>
    <tableColumn id="6" xr3:uid="{7FE90803-23E5-494A-A0BF-BC300DC2C8FC}" name="サブネット"/>
    <tableColumn id="7" xr3:uid="{7147E2CE-F158-4AC6-B3BE-082B41BA49E0}" name="アベイラビリティゾーン"/>
    <tableColumn id="8" xr3:uid="{0A14BBFD-CDD8-441A-8A98-19540D6C58C2}" name="検索Key" dataDxfId="48">
      <calculatedColumnFormula>$E$501&amp;"-"&amp;開発オールマイティ外部151920[[#This Row],[サブネット]]</calculatedColumnFormula>
    </tableColumn>
    <tableColumn id="9" xr3:uid="{E8BD8E21-4DBD-43B4-B867-E1130527E347}" name="CIDR"/>
    <tableColumn id="10" xr3:uid="{F3024CDA-916B-4DE2-90D0-89280A19E4F7}" name="サブネットID"/>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2AAA49D-EA22-47B9-847B-E99F49CC9BC7}" name="開発オールマイティ外部15192021" displayName="開発オールマイティ外部15192021" ref="B509:K513" totalsRowShown="0">
  <autoFilter ref="B509:K513" xr:uid="{82AAA49D-EA22-47B9-847B-E99F49CC9BC7}"/>
  <tableColumns count="10">
    <tableColumn id="1" xr3:uid="{69521A5E-A1C2-4797-8936-75E7119FFE56}" name="アカウント"/>
    <tableColumn id="2" xr3:uid="{5013D071-008D-4D08-B4A9-740C5A119F9C}" name="アカウントID"/>
    <tableColumn id="3" xr3:uid="{AC4316AF-06CA-4CC8-B9FF-02A60C674A9D}" name="カウント用途"/>
    <tableColumn id="4" xr3:uid="{6C8BB9E3-35CC-46AF-84BD-D6A51EB0C58C}" name="VPC"/>
    <tableColumn id="5" xr3:uid="{D79CBF31-1535-48B7-A240-DF2BA8FBDC70}" name="VPC ID"/>
    <tableColumn id="6" xr3:uid="{1FA3BFAB-A2FD-4A1A-B623-7DA8943DA13D}" name="サブネット"/>
    <tableColumn id="7" xr3:uid="{3A08E52C-6826-450F-B7FF-EB05D307FC14}" name="アベイラビリティゾーン"/>
    <tableColumn id="8" xr3:uid="{64E96D12-FCDF-4877-83AC-2B721BF7E531}" name="検索Key" dataDxfId="47">
      <calculatedColumnFormula>$E$510&amp;"-"&amp;開発オールマイティ外部15192021[[#This Row],[サブネット]]</calculatedColumnFormula>
    </tableColumn>
    <tableColumn id="9" xr3:uid="{0E650A48-CE8C-4A4B-B769-2827BFDBBFEE}" name="CIDR"/>
    <tableColumn id="10" xr3:uid="{ED6F3911-DD45-4B6A-94E9-172ED632D7EA}" name="サブネットID"/>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4763472-9975-4C60-8C3D-E62C8612B22B}" name="開発オールマイティ外部15192022" displayName="開発オールマイティ外部15192022" ref="B516:K520" totalsRowShown="0">
  <autoFilter ref="B516:K520" xr:uid="{84763472-9975-4C60-8C3D-E62C8612B22B}"/>
  <tableColumns count="10">
    <tableColumn id="1" xr3:uid="{954BA392-1353-4A76-92A0-E516826F28FE}" name="アカウント"/>
    <tableColumn id="2" xr3:uid="{D679E307-5FAD-4CB7-A9A2-970513F55F40}" name="アカウントID"/>
    <tableColumn id="3" xr3:uid="{F54DC9C9-6884-4A5C-BA2F-902298973B3A}" name="カウント用途"/>
    <tableColumn id="4" xr3:uid="{03C383B7-C8F8-4A94-964D-18ECB64A49C2}" name="VPC"/>
    <tableColumn id="5" xr3:uid="{CED968C1-23CC-470B-89EC-3282ECAF9E04}" name="VPC ID"/>
    <tableColumn id="6" xr3:uid="{A9EE60D5-849A-4248-9BEA-E04E3DE69372}" name="サブネット"/>
    <tableColumn id="7" xr3:uid="{3AE3936E-8B7D-4B24-8ADC-589AD9563D59}" name="アベイラビリティゾーン"/>
    <tableColumn id="8" xr3:uid="{47D5C4A4-7F03-457E-8C1E-2A1F622CC44C}" name="検索Key" dataDxfId="46">
      <calculatedColumnFormula>$E$517&amp;"-"&amp;開発オールマイティ外部15192022[[#This Row],[サブネット]]</calculatedColumnFormula>
    </tableColumn>
    <tableColumn id="9" xr3:uid="{EC884A82-14F6-4E1A-84B8-3FC1BA2740EE}" name="CIDR"/>
    <tableColumn id="10" xr3:uid="{ED223FD0-2E16-44B4-B41F-12044F4C59CF}" name="サブネットID"/>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CDDDC1B-0821-4E48-ABF1-DD28F1B907FE}" name="開発オールマイティ外部1519202223" displayName="開発オールマイティ外部1519202223" ref="B523:K527" totalsRowShown="0">
  <autoFilter ref="B523:K527" xr:uid="{4CDDDC1B-0821-4E48-ABF1-DD28F1B907FE}"/>
  <tableColumns count="10">
    <tableColumn id="1" xr3:uid="{202C87C0-76EE-433F-B654-0F07FF174B7B}" name="アカウント"/>
    <tableColumn id="2" xr3:uid="{8CA1E8CD-55DF-4DC2-85F6-F196EF8B48F6}" name="アカウントID"/>
    <tableColumn id="3" xr3:uid="{ECF59CA7-5BF6-417F-9028-F5E247DC149C}" name="カウント用途"/>
    <tableColumn id="4" xr3:uid="{C616E370-3B17-4E9F-9549-DC72A1E11F09}" name="VPC"/>
    <tableColumn id="5" xr3:uid="{A7ECF10F-613F-4AC0-A48F-6FAE5AA2AC52}" name="VPC ID"/>
    <tableColumn id="6" xr3:uid="{43724D59-1B71-4BDA-9508-71AFCC99E68C}" name="サブネット"/>
    <tableColumn id="7" xr3:uid="{43F77212-C805-4243-A2B7-D8A9EDC2733F}" name="アベイラビリティゾーン"/>
    <tableColumn id="8" xr3:uid="{A138E5BA-29BC-466F-BB12-21D98AC93D7A}" name="検索Key" dataDxfId="45">
      <calculatedColumnFormula>$E$524&amp;"-"&amp;開発オールマイティ外部1519202223[[#This Row],[サブネット]]</calculatedColumnFormula>
    </tableColumn>
    <tableColumn id="9" xr3:uid="{E35310EC-C00D-4005-A480-E1D55F8F6FFE}" name="CIDR"/>
    <tableColumn id="10" xr3:uid="{1F5DC0A4-A27C-46BA-A7EF-8856DB02BE1A}" name="サブネットID"/>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D4B9F97-ABD9-4C6B-94E7-061E1411C63B}" name="本番オールマイティ外部1419" displayName="本番オールマイティ外部1419" ref="B530:K534" totalsRowShown="0">
  <autoFilter ref="B530:K534" xr:uid="{0D4B9F97-ABD9-4C6B-94E7-061E1411C63B}"/>
  <tableColumns count="10">
    <tableColumn id="1" xr3:uid="{D2C005BD-0BC6-4BCF-92A0-E83746C801CA}" name="アカウント"/>
    <tableColumn id="2" xr3:uid="{1517F763-0948-4C9C-89A6-4B536F978F0C}" name="アカウントID"/>
    <tableColumn id="3" xr3:uid="{05A0E061-6442-4EBB-ADFA-5E49C0E20BB2}" name="カウント用途"/>
    <tableColumn id="4" xr3:uid="{56DD1BA6-FCC6-4216-A800-8FB7F8B81EE1}" name="VPC"/>
    <tableColumn id="5" xr3:uid="{E12604AD-E7C9-41E0-BB2C-58FADCC62759}" name="VPC ID"/>
    <tableColumn id="6" xr3:uid="{7DDD554F-5BD3-44BB-A33A-4B377EE15501}" name="サブネット"/>
    <tableColumn id="7" xr3:uid="{071AE3CE-84FF-4454-8307-847BD10DF48C}" name="アベイラビリティゾーン"/>
    <tableColumn id="8" xr3:uid="{32C8C505-869C-46BC-BA1E-C04258B9B9A5}" name="検索Key" dataDxfId="44">
      <calculatedColumnFormula>$E$531&amp;"-"&amp;本番オールマイティ外部1419[[#This Row],[サブネット]]</calculatedColumnFormula>
    </tableColumn>
    <tableColumn id="9" xr3:uid="{41C36BCC-983F-4138-A5A9-703710AC41F5}" name="CIDR"/>
    <tableColumn id="10" xr3:uid="{515C4AC7-3684-495F-A977-5EACDB0A418E}" name="サブネットID"/>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82F9515-5A4E-4B4C-916C-9D4DF3D0A99B}" name="開発オールマイティ外部152021" displayName="開発オールマイティ外部152021" ref="B537:K541" totalsRowShown="0">
  <autoFilter ref="B537:K541" xr:uid="{C82F9515-5A4E-4B4C-916C-9D4DF3D0A99B}"/>
  <tableColumns count="10">
    <tableColumn id="1" xr3:uid="{399392A0-68DE-4FFC-95C6-4FC87F1D4682}" name="アカウント"/>
    <tableColumn id="2" xr3:uid="{9606350B-F6D6-44BE-A402-03031458679B}" name="アカウントID"/>
    <tableColumn id="3" xr3:uid="{EF40C4C7-3F9D-48AE-8662-03C93ECF85D7}" name="カウント用途"/>
    <tableColumn id="4" xr3:uid="{FD731B32-480C-4B07-AB3B-A924213062C8}" name="VPC"/>
    <tableColumn id="5" xr3:uid="{90421920-A0B8-4437-9DAC-BC1C055184AD}" name="VPC ID"/>
    <tableColumn id="6" xr3:uid="{DDB47D3E-009C-4587-905D-668F5EC2B9CB}" name="サブネット"/>
    <tableColumn id="7" xr3:uid="{0A27BA8E-C549-4352-AD40-9F492925C1DC}" name="アベイラビリティゾーン"/>
    <tableColumn id="8" xr3:uid="{40881178-6A6E-4127-8C64-D28792BB8520}" name="検索Key" dataDxfId="43">
      <calculatedColumnFormula>$E$538&amp;"-"&amp;開発オールマイティ外部152021[[#This Row],[サブネット]]</calculatedColumnFormula>
    </tableColumn>
    <tableColumn id="9" xr3:uid="{3767279F-18F1-47B6-B6D9-2A8A88F87611}" name="CIDR"/>
    <tableColumn id="10" xr3:uid="{D3904286-B196-4123-9403-42FDD494950D}" name="サブネットID"/>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table" Target="../tables/table11.xml"/><Relationship Id="rId18" Type="http://schemas.openxmlformats.org/officeDocument/2006/relationships/table" Target="../tables/table16.xml"/><Relationship Id="rId26" Type="http://schemas.openxmlformats.org/officeDocument/2006/relationships/table" Target="../tables/table24.xml"/><Relationship Id="rId39" Type="http://schemas.openxmlformats.org/officeDocument/2006/relationships/table" Target="../tables/table37.xml"/><Relationship Id="rId21" Type="http://schemas.openxmlformats.org/officeDocument/2006/relationships/table" Target="../tables/table19.xml"/><Relationship Id="rId34" Type="http://schemas.openxmlformats.org/officeDocument/2006/relationships/table" Target="../tables/table32.xml"/><Relationship Id="rId42" Type="http://schemas.openxmlformats.org/officeDocument/2006/relationships/table" Target="../tables/table40.xml"/><Relationship Id="rId47" Type="http://schemas.openxmlformats.org/officeDocument/2006/relationships/table" Target="../tables/table45.xml"/><Relationship Id="rId50" Type="http://schemas.openxmlformats.org/officeDocument/2006/relationships/table" Target="../tables/table48.xml"/><Relationship Id="rId7" Type="http://schemas.openxmlformats.org/officeDocument/2006/relationships/table" Target="../tables/table5.xml"/><Relationship Id="rId2" Type="http://schemas.openxmlformats.org/officeDocument/2006/relationships/drawing" Target="../drawings/drawing1.xml"/><Relationship Id="rId16" Type="http://schemas.openxmlformats.org/officeDocument/2006/relationships/table" Target="../tables/table14.xml"/><Relationship Id="rId29" Type="http://schemas.openxmlformats.org/officeDocument/2006/relationships/table" Target="../tables/table27.xml"/><Relationship Id="rId11" Type="http://schemas.openxmlformats.org/officeDocument/2006/relationships/table" Target="../tables/table9.xml"/><Relationship Id="rId24" Type="http://schemas.openxmlformats.org/officeDocument/2006/relationships/table" Target="../tables/table22.xml"/><Relationship Id="rId32" Type="http://schemas.openxmlformats.org/officeDocument/2006/relationships/table" Target="../tables/table30.xml"/><Relationship Id="rId37" Type="http://schemas.openxmlformats.org/officeDocument/2006/relationships/table" Target="../tables/table35.xml"/><Relationship Id="rId40" Type="http://schemas.openxmlformats.org/officeDocument/2006/relationships/table" Target="../tables/table38.xml"/><Relationship Id="rId45" Type="http://schemas.openxmlformats.org/officeDocument/2006/relationships/table" Target="../tables/table43.xml"/><Relationship Id="rId5" Type="http://schemas.openxmlformats.org/officeDocument/2006/relationships/table" Target="../tables/table3.xml"/><Relationship Id="rId15" Type="http://schemas.openxmlformats.org/officeDocument/2006/relationships/table" Target="../tables/table13.xml"/><Relationship Id="rId23" Type="http://schemas.openxmlformats.org/officeDocument/2006/relationships/table" Target="../tables/table21.xml"/><Relationship Id="rId28" Type="http://schemas.openxmlformats.org/officeDocument/2006/relationships/table" Target="../tables/table26.xml"/><Relationship Id="rId36" Type="http://schemas.openxmlformats.org/officeDocument/2006/relationships/table" Target="../tables/table34.xml"/><Relationship Id="rId49" Type="http://schemas.openxmlformats.org/officeDocument/2006/relationships/table" Target="../tables/table47.xml"/><Relationship Id="rId10" Type="http://schemas.openxmlformats.org/officeDocument/2006/relationships/table" Target="../tables/table8.xml"/><Relationship Id="rId19" Type="http://schemas.openxmlformats.org/officeDocument/2006/relationships/table" Target="../tables/table17.xml"/><Relationship Id="rId31" Type="http://schemas.openxmlformats.org/officeDocument/2006/relationships/table" Target="../tables/table29.xml"/><Relationship Id="rId44" Type="http://schemas.openxmlformats.org/officeDocument/2006/relationships/table" Target="../tables/table42.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 Id="rId27" Type="http://schemas.openxmlformats.org/officeDocument/2006/relationships/table" Target="../tables/table25.xml"/><Relationship Id="rId30" Type="http://schemas.openxmlformats.org/officeDocument/2006/relationships/table" Target="../tables/table28.xml"/><Relationship Id="rId35" Type="http://schemas.openxmlformats.org/officeDocument/2006/relationships/table" Target="../tables/table33.xml"/><Relationship Id="rId43" Type="http://schemas.openxmlformats.org/officeDocument/2006/relationships/table" Target="../tables/table41.xml"/><Relationship Id="rId48" Type="http://schemas.openxmlformats.org/officeDocument/2006/relationships/table" Target="../tables/table46.xml"/><Relationship Id="rId8" Type="http://schemas.openxmlformats.org/officeDocument/2006/relationships/table" Target="../tables/table6.xml"/><Relationship Id="rId3" Type="http://schemas.openxmlformats.org/officeDocument/2006/relationships/table" Target="../tables/table1.xml"/><Relationship Id="rId12" Type="http://schemas.openxmlformats.org/officeDocument/2006/relationships/table" Target="../tables/table10.xml"/><Relationship Id="rId17" Type="http://schemas.openxmlformats.org/officeDocument/2006/relationships/table" Target="../tables/table15.xml"/><Relationship Id="rId25" Type="http://schemas.openxmlformats.org/officeDocument/2006/relationships/table" Target="../tables/table23.xml"/><Relationship Id="rId33" Type="http://schemas.openxmlformats.org/officeDocument/2006/relationships/table" Target="../tables/table31.xml"/><Relationship Id="rId38" Type="http://schemas.openxmlformats.org/officeDocument/2006/relationships/table" Target="../tables/table36.xml"/><Relationship Id="rId46" Type="http://schemas.openxmlformats.org/officeDocument/2006/relationships/table" Target="../tables/table44.xml"/><Relationship Id="rId20" Type="http://schemas.openxmlformats.org/officeDocument/2006/relationships/table" Target="../tables/table18.xml"/><Relationship Id="rId41"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3625-E0D8-4B84-BE56-93C90D305CA6}">
  <sheetPr codeName="Sheet1"/>
  <dimension ref="A1:D182"/>
  <sheetViews>
    <sheetView workbookViewId="0"/>
  </sheetViews>
  <sheetFormatPr defaultColWidth="9" defaultRowHeight="16" outlineLevelRow="1"/>
  <cols>
    <col min="1" max="1" width="9" style="63"/>
    <col min="2" max="2" width="4.5" style="63" customWidth="1"/>
    <col min="3" max="3" width="31.83203125" style="63" bestFit="1" customWidth="1"/>
    <col min="4" max="4" width="60.5" style="64" customWidth="1"/>
    <col min="5" max="5" width="10.6640625" style="63" bestFit="1" customWidth="1"/>
    <col min="6" max="8" width="9" style="63"/>
    <col min="9" max="9" width="10.6640625" style="63" bestFit="1" customWidth="1"/>
    <col min="10" max="16384" width="9" style="63"/>
  </cols>
  <sheetData>
    <row r="1" spans="1:4" ht="24.5">
      <c r="A1" s="62" t="s">
        <v>0</v>
      </c>
      <c r="B1" s="62"/>
    </row>
    <row r="3" spans="1:4">
      <c r="B3" s="111" t="s">
        <v>1</v>
      </c>
      <c r="C3" s="112"/>
    </row>
    <row r="4" spans="1:4">
      <c r="B4" s="94" t="s">
        <v>2</v>
      </c>
      <c r="C4" s="95"/>
    </row>
    <row r="6" spans="1:4">
      <c r="B6" s="65" t="s">
        <v>3</v>
      </c>
      <c r="C6" s="60"/>
      <c r="D6" s="66"/>
    </row>
    <row r="7" spans="1:4">
      <c r="B7" s="65" t="s">
        <v>4</v>
      </c>
      <c r="C7" s="60"/>
      <c r="D7" s="85"/>
    </row>
    <row r="8" spans="1:4">
      <c r="B8" s="65" t="s">
        <v>5</v>
      </c>
      <c r="C8" s="60"/>
      <c r="D8" s="96" t="s">
        <v>6</v>
      </c>
    </row>
    <row r="9" spans="1:4">
      <c r="B9" s="65" t="s">
        <v>5</v>
      </c>
      <c r="C9" s="60"/>
      <c r="D9" s="87" t="str">
        <f>_xlfn.XLOOKUP(D8,ランドスケープ[名前],ランドスケープ[略称])</f>
        <v>dev</v>
      </c>
    </row>
    <row r="10" spans="1:4" hidden="1">
      <c r="B10" s="65" t="s">
        <v>5</v>
      </c>
      <c r="C10" s="60"/>
      <c r="D10" s="87" t="str">
        <f>IF(D8="本番","本番","開発")</f>
        <v>開発</v>
      </c>
    </row>
    <row r="11" spans="1:4">
      <c r="B11" s="65" t="s">
        <v>7</v>
      </c>
      <c r="C11" s="60"/>
      <c r="D11" s="96" t="s">
        <v>8</v>
      </c>
    </row>
    <row r="12" spans="1:4">
      <c r="B12" s="65" t="s">
        <v>9</v>
      </c>
      <c r="C12" s="60"/>
      <c r="D12" s="96"/>
    </row>
    <row r="13" spans="1:4">
      <c r="B13" s="67" t="s">
        <v>10</v>
      </c>
      <c r="C13" s="58"/>
      <c r="D13" s="60"/>
    </row>
    <row r="14" spans="1:4">
      <c r="B14" s="65" t="s">
        <v>11</v>
      </c>
      <c r="C14" s="60"/>
      <c r="D14" s="69"/>
    </row>
    <row r="15" spans="1:4">
      <c r="B15" s="65" t="s">
        <v>12</v>
      </c>
      <c r="C15" s="60"/>
      <c r="D15" s="87" t="str">
        <f>IF(D14="","※配属先アカウントを選択してください。",_xlfn.XLOOKUP(D14,データ管理シート!$D:$D,データ管理シート!$C:$C))</f>
        <v>※配属先アカウントを選択してください。</v>
      </c>
    </row>
    <row r="16" spans="1:4">
      <c r="B16" s="65" t="s">
        <v>13</v>
      </c>
      <c r="C16" s="60"/>
      <c r="D16" s="87" t="str">
        <f>IF(D14="","※配属先アカウントを選択してください。",_xlfn.XLOOKUP(D14,データ管理シート!$D:$D,データ管理シート!$B:$B))</f>
        <v>※配属先アカウントを選択してください。</v>
      </c>
    </row>
    <row r="17" spans="2:4">
      <c r="B17" s="65" t="s">
        <v>14</v>
      </c>
      <c r="C17" s="60"/>
      <c r="D17" s="87" t="str">
        <f>IF(D14="","※配属先アカウントを選択してください。",_xlfn.XLOOKUP(D14,データ管理シート!$D:$D,データ管理シート!$E:$E))</f>
        <v>※配属先アカウントを選択してください。</v>
      </c>
    </row>
    <row r="18" spans="2:4">
      <c r="B18" s="65" t="s">
        <v>15</v>
      </c>
      <c r="C18" s="60"/>
      <c r="D18" s="87" t="str">
        <f>IF(D14="","※配属先アカウントを選択してください。",_xlfn.XLOOKUP(D14,データ管理シート!$D:$D,データ管理シート!$F:$F))</f>
        <v>※配属先アカウントを選択してください。</v>
      </c>
    </row>
    <row r="19" spans="2:4">
      <c r="B19" s="65" t="s">
        <v>16</v>
      </c>
      <c r="C19" s="60"/>
      <c r="D19" s="69" t="s">
        <v>17</v>
      </c>
    </row>
    <row r="20" spans="2:4">
      <c r="B20" s="65" t="s">
        <v>18</v>
      </c>
      <c r="C20" s="60"/>
      <c r="D20" s="69"/>
    </row>
    <row r="21" spans="2:4">
      <c r="B21" s="65" t="s">
        <v>19</v>
      </c>
      <c r="C21" s="60"/>
      <c r="D21" s="87" t="str" cm="1">
        <f t="array" ref="D21">_xlfn.IFS(OR(D19="",D20=""),"※配属先サブネット種類、アベイラビリティゾーンを選択してください。",D19="パブリックサブネット","subnet-public-"&amp;RIGHT(D20,2),D19="プロテクトサブネット","subnet-protect-"&amp;RIGHT(D20,2),D19="プライベートサブネット","subnet-private-"&amp;RIGHT(D20,2))</f>
        <v>※配属先サブネット種類、アベイラビリティゾーンを選択してください。</v>
      </c>
    </row>
    <row r="22" spans="2:4">
      <c r="B22" s="65" t="s">
        <v>20</v>
      </c>
      <c r="C22" s="60"/>
      <c r="D22" s="87" t="str">
        <f>IF(OR(D19="",D20=""),"※配属先サブネット種類、アベイラビリティゾーンを選択してください。",_xlfn.XLOOKUP(D17&amp;"-"&amp;D21,データ管理シート!$K:$K,データ管理シート!$J:$J))</f>
        <v>※配属先サブネット種類、アベイラビリティゾーンを選択してください。</v>
      </c>
    </row>
    <row r="23" spans="2:4">
      <c r="B23" s="65" t="s">
        <v>21</v>
      </c>
      <c r="C23" s="60"/>
      <c r="D23" s="87" t="str">
        <f>IF(OR(D19="",D20=""),"※配属先サブネット種類、アベイラビリティゾーンを選択してください。",_xlfn.XLOOKUP(D17&amp;"-"&amp;D21,データ管理シート!$K:$K,データ管理シート!$I:$I))</f>
        <v>※配属先サブネット種類、アベイラビリティゾーンを選択してください。</v>
      </c>
    </row>
    <row r="24" spans="2:4">
      <c r="B24" s="71" t="s">
        <v>22</v>
      </c>
      <c r="C24" s="58"/>
      <c r="D24" s="60"/>
    </row>
    <row r="25" spans="2:4">
      <c r="B25" s="68"/>
      <c r="C25" s="74" t="s">
        <v>23</v>
      </c>
      <c r="D25" s="108"/>
    </row>
    <row r="26" spans="2:4">
      <c r="B26" s="68"/>
      <c r="C26" s="75" t="s">
        <v>24</v>
      </c>
      <c r="D26" s="80" t="str">
        <f>IF(D23="※配属先サブネット種類、アベイラビリティゾーンを選択してください。","",LEFT(D23,11)&amp;"xxx")</f>
        <v/>
      </c>
    </row>
    <row r="27" spans="2:4">
      <c r="B27" s="68"/>
      <c r="C27" s="76" t="s">
        <v>25</v>
      </c>
      <c r="D27" s="109"/>
    </row>
    <row r="28" spans="2:4">
      <c r="B28" s="71" t="s">
        <v>26</v>
      </c>
      <c r="C28" s="58"/>
      <c r="D28" s="60"/>
    </row>
    <row r="29" spans="2:4">
      <c r="B29" s="68"/>
      <c r="C29" s="74" t="s">
        <v>23</v>
      </c>
      <c r="D29" s="108"/>
    </row>
    <row r="30" spans="2:4">
      <c r="B30" s="68"/>
      <c r="C30" s="75" t="s">
        <v>27</v>
      </c>
      <c r="D30" s="80" t="str">
        <f>IF(D23="※配属先サブネット種類、アベイラビリティゾーンを選択してください。","",LEFT(D23,11)&amp;"xxx")</f>
        <v/>
      </c>
    </row>
    <row r="31" spans="2:4">
      <c r="B31" s="68"/>
      <c r="C31" s="76" t="s">
        <v>25</v>
      </c>
      <c r="D31" s="109"/>
    </row>
    <row r="32" spans="2:4">
      <c r="B32" s="65" t="s">
        <v>28</v>
      </c>
      <c r="C32" s="60"/>
      <c r="D32" s="69" t="s">
        <v>29</v>
      </c>
    </row>
    <row r="33" spans="2:4">
      <c r="B33" s="65" t="s">
        <v>30</v>
      </c>
      <c r="C33" s="60"/>
      <c r="D33" s="69" t="s">
        <v>29</v>
      </c>
    </row>
    <row r="34" spans="2:4">
      <c r="B34" s="65" t="s">
        <v>31</v>
      </c>
      <c r="C34" s="60"/>
      <c r="D34" s="69" t="s">
        <v>32</v>
      </c>
    </row>
    <row r="35" spans="2:4" outlineLevel="1">
      <c r="B35" s="67" t="s">
        <v>33</v>
      </c>
      <c r="C35" s="58"/>
      <c r="D35" s="60"/>
    </row>
    <row r="36" spans="2:4" outlineLevel="1">
      <c r="B36" s="72"/>
      <c r="C36" s="74" t="s">
        <v>34</v>
      </c>
      <c r="D36" s="97"/>
    </row>
    <row r="37" spans="2:4" outlineLevel="1">
      <c r="B37" s="72"/>
      <c r="C37" s="75" t="s">
        <v>35</v>
      </c>
      <c r="D37" s="98"/>
    </row>
    <row r="38" spans="2:4" outlineLevel="1">
      <c r="B38" s="72"/>
      <c r="C38" s="75" t="s">
        <v>36</v>
      </c>
      <c r="D38" s="98"/>
    </row>
    <row r="39" spans="2:4" outlineLevel="1">
      <c r="B39" s="72"/>
      <c r="C39" s="75" t="s">
        <v>37</v>
      </c>
      <c r="D39" s="98"/>
    </row>
    <row r="40" spans="2:4" outlineLevel="1">
      <c r="B40" s="72"/>
      <c r="C40" s="75" t="s">
        <v>38</v>
      </c>
      <c r="D40" s="98"/>
    </row>
    <row r="41" spans="2:4" outlineLevel="1">
      <c r="B41" s="73"/>
      <c r="C41" s="76" t="s">
        <v>39</v>
      </c>
      <c r="D41" s="99"/>
    </row>
    <row r="42" spans="2:4">
      <c r="B42" s="65" t="s">
        <v>40</v>
      </c>
      <c r="C42" s="60"/>
      <c r="D42" s="92"/>
    </row>
    <row r="43" spans="2:4">
      <c r="B43" s="65" t="s">
        <v>41</v>
      </c>
      <c r="C43" s="60"/>
      <c r="D43" s="100" t="str">
        <f>IF(OR(D36="",D37="",D38="",D39="",D40="",D41=""),"※ホスト名定義の各項目を入力してください。",D36&amp;LEFT(D37,1)&amp;LEFT(D38,2)&amp;LEFT(D39,3)&amp;LEFT(D40,2)&amp;D41)</f>
        <v>※ホスト名定義の各項目を入力してください。</v>
      </c>
    </row>
    <row r="44" spans="2:4">
      <c r="B44" s="65" t="s">
        <v>42</v>
      </c>
      <c r="C44" s="60"/>
      <c r="D44" s="100" t="str">
        <f>IF(OR(D36="",D37="",D38="",D39="",D40="",D41=""),"※ホスト名定義の各項目を入力してください。",D36&amp;"-"&amp;LEFT(D37,1)&amp;"-"&amp;LEFT(D38,2)&amp;"-"&amp;LEFT(D40,2)&amp;D41)</f>
        <v>※ホスト名定義の各項目を入力してください。</v>
      </c>
    </row>
    <row r="45" spans="2:4">
      <c r="B45" s="65" t="s">
        <v>43</v>
      </c>
      <c r="C45" s="60"/>
      <c r="D45" s="96" t="s">
        <v>44</v>
      </c>
    </row>
    <row r="46" spans="2:4">
      <c r="B46" s="65" t="s">
        <v>45</v>
      </c>
      <c r="C46" s="60"/>
      <c r="D46" s="101" t="e">
        <f>IF(D45="","※インスタンスタイプを選択してください。",_xlfn.XLOOKUP(D45,インスタンスタイプ[vCPU],インスタンスタイプ[種別]))</f>
        <v>#N/A</v>
      </c>
    </row>
    <row r="47" spans="2:4">
      <c r="B47" s="65" t="s">
        <v>46</v>
      </c>
      <c r="C47" s="60"/>
      <c r="D47" s="102" t="e">
        <f>IF(D45="","※インスタンスタイプを選択してください。",_xlfn.XLOOKUP(D45,インスタンスタイプ[vCPU],インスタンスタイプ[名前]))</f>
        <v>#N/A</v>
      </c>
    </row>
    <row r="48" spans="2:4" ht="32.15" customHeight="1">
      <c r="B48" s="65" t="s">
        <v>47</v>
      </c>
      <c r="C48" s="60"/>
      <c r="D48" s="96" t="s">
        <v>48</v>
      </c>
    </row>
    <row r="49" spans="2:4">
      <c r="B49" s="65" t="s">
        <v>49</v>
      </c>
      <c r="C49" s="60"/>
      <c r="D49" s="100" t="e">
        <f>IF(D48="","※OSを選択してください。",_xlfn.XLOOKUP(D48,OS_Windows[OS],OS_Windows[AMI]))</f>
        <v>#N/A</v>
      </c>
    </row>
    <row r="50" spans="2:4">
      <c r="B50" s="67" t="s">
        <v>50</v>
      </c>
      <c r="C50" s="60"/>
      <c r="D50" s="110" t="s">
        <v>51</v>
      </c>
    </row>
    <row r="51" spans="2:4">
      <c r="B51" s="67" t="s">
        <v>52</v>
      </c>
      <c r="C51" s="60"/>
      <c r="D51" s="110" t="s">
        <v>53</v>
      </c>
    </row>
    <row r="52" spans="2:4">
      <c r="B52" s="67" t="s">
        <v>54</v>
      </c>
      <c r="C52" s="60"/>
      <c r="D52" s="110" t="s">
        <v>53</v>
      </c>
    </row>
    <row r="53" spans="2:4">
      <c r="B53" s="67" t="s">
        <v>55</v>
      </c>
      <c r="C53" s="60"/>
      <c r="D53" s="60"/>
    </row>
    <row r="54" spans="2:4">
      <c r="B54" s="72"/>
      <c r="C54" s="74" t="s">
        <v>56</v>
      </c>
      <c r="D54" s="77" t="s">
        <v>57</v>
      </c>
    </row>
    <row r="55" spans="2:4">
      <c r="B55" s="72"/>
      <c r="C55" s="75" t="s">
        <v>39</v>
      </c>
      <c r="D55" s="78" t="s">
        <v>58</v>
      </c>
    </row>
    <row r="56" spans="2:4">
      <c r="B56" s="73"/>
      <c r="C56" s="76" t="s">
        <v>59</v>
      </c>
      <c r="D56" s="88" t="str">
        <f>IF(OR(D36=0,D54=0,D55=0),"",D36&amp;"-sg-"&amp;D54&amp;"-"&amp;D55)</f>
        <v/>
      </c>
    </row>
    <row r="57" spans="2:4">
      <c r="B57" s="67" t="s">
        <v>60</v>
      </c>
      <c r="C57" s="60"/>
      <c r="D57" s="60"/>
    </row>
    <row r="58" spans="2:4">
      <c r="B58" s="72"/>
      <c r="C58" s="74" t="s">
        <v>56</v>
      </c>
      <c r="D58" s="77" t="s">
        <v>61</v>
      </c>
    </row>
    <row r="59" spans="2:4">
      <c r="B59" s="72"/>
      <c r="C59" s="75" t="s">
        <v>39</v>
      </c>
      <c r="D59" s="78" t="s">
        <v>58</v>
      </c>
    </row>
    <row r="60" spans="2:4">
      <c r="B60" s="73"/>
      <c r="C60" s="76" t="s">
        <v>59</v>
      </c>
      <c r="D60" s="88" t="str">
        <f>IF(OR(D36=0,D58=0,D59=0),"",D36&amp;"-sg-"&amp;D58&amp;"-"&amp;D59)</f>
        <v/>
      </c>
    </row>
    <row r="61" spans="2:4">
      <c r="B61" s="65" t="s">
        <v>62</v>
      </c>
      <c r="C61" s="60"/>
      <c r="D61" s="69" t="s">
        <v>63</v>
      </c>
    </row>
    <row r="62" spans="2:4">
      <c r="B62" s="65" t="s">
        <v>64</v>
      </c>
      <c r="C62" s="60"/>
      <c r="D62" s="89" t="str">
        <f>IF(OR(D15="※配属先アカウントを選択してください。",D36=0,D9=""),"",D15&amp;"-"&amp;D36&amp;"-"&amp;D9&amp;"-keypair")</f>
        <v/>
      </c>
    </row>
    <row r="63" spans="2:4">
      <c r="B63" s="67" t="s">
        <v>65</v>
      </c>
      <c r="C63" s="58"/>
      <c r="D63" s="93"/>
    </row>
    <row r="64" spans="2:4">
      <c r="B64" s="68"/>
      <c r="C64" s="74" t="s">
        <v>66</v>
      </c>
      <c r="D64" s="103" t="s">
        <v>67</v>
      </c>
    </row>
    <row r="65" spans="2:4">
      <c r="B65" s="68"/>
      <c r="C65" s="79" t="s">
        <v>68</v>
      </c>
      <c r="D65" s="86" t="str">
        <f>"/dev/sda1"</f>
        <v>/dev/sda1</v>
      </c>
    </row>
    <row r="66" spans="2:4">
      <c r="B66" s="68"/>
      <c r="C66" s="79" t="s">
        <v>69</v>
      </c>
      <c r="D66" s="90"/>
    </row>
    <row r="67" spans="2:4">
      <c r="B67" s="68"/>
      <c r="C67" s="79" t="s">
        <v>70</v>
      </c>
      <c r="D67" s="80" t="s">
        <v>71</v>
      </c>
    </row>
    <row r="68" spans="2:4">
      <c r="B68" s="68"/>
      <c r="C68" s="79" t="s">
        <v>72</v>
      </c>
      <c r="D68" s="80">
        <v>3000</v>
      </c>
    </row>
    <row r="69" spans="2:4">
      <c r="B69" s="72"/>
      <c r="C69" s="79" t="s">
        <v>73</v>
      </c>
      <c r="D69" s="105">
        <v>125</v>
      </c>
    </row>
    <row r="70" spans="2:4">
      <c r="B70" s="72"/>
      <c r="C70" s="79" t="s">
        <v>74</v>
      </c>
      <c r="D70" s="105"/>
    </row>
    <row r="71" spans="2:4">
      <c r="B71" s="72"/>
      <c r="C71" s="79" t="s">
        <v>75</v>
      </c>
      <c r="D71" s="105"/>
    </row>
    <row r="72" spans="2:4">
      <c r="B72" s="72"/>
      <c r="C72" s="79" t="s">
        <v>42</v>
      </c>
      <c r="D72" s="106" t="str">
        <f>IF(OR(D43="※ホスト名定義の各項目を入力してください。",D64=0),"",D43&amp;"-"&amp;D64)</f>
        <v/>
      </c>
    </row>
    <row r="73" spans="2:4">
      <c r="B73" s="73"/>
      <c r="C73" s="81" t="s">
        <v>76</v>
      </c>
      <c r="D73" s="107" t="str">
        <f>IF(OR(D43="※ホスト名定義の各項目を入力してください。",D64=0),"",D43&amp;"-"&amp;D64)</f>
        <v/>
      </c>
    </row>
    <row r="74" spans="2:4">
      <c r="B74" s="67" t="s">
        <v>77</v>
      </c>
      <c r="C74" s="58"/>
      <c r="D74" s="93"/>
    </row>
    <row r="75" spans="2:4">
      <c r="B75" s="68"/>
      <c r="C75" s="82" t="s">
        <v>66</v>
      </c>
      <c r="D75" s="61" t="s">
        <v>78</v>
      </c>
    </row>
    <row r="76" spans="2:4">
      <c r="B76" s="68"/>
      <c r="C76" s="79" t="s">
        <v>68</v>
      </c>
      <c r="D76" s="91" t="str">
        <f>IF(OR(D75="-",D75=0),"-","xvd"&amp;(LOWER(D75)))</f>
        <v>xvdd</v>
      </c>
    </row>
    <row r="77" spans="2:4">
      <c r="B77" s="68"/>
      <c r="C77" s="79" t="s">
        <v>69</v>
      </c>
      <c r="D77" s="90">
        <v>0</v>
      </c>
    </row>
    <row r="78" spans="2:4">
      <c r="B78" s="68"/>
      <c r="C78" s="79" t="s">
        <v>70</v>
      </c>
      <c r="D78" s="80" t="s">
        <v>71</v>
      </c>
    </row>
    <row r="79" spans="2:4">
      <c r="B79" s="68"/>
      <c r="C79" s="79" t="s">
        <v>72</v>
      </c>
      <c r="D79" s="80">
        <v>3000</v>
      </c>
    </row>
    <row r="80" spans="2:4">
      <c r="B80" s="72"/>
      <c r="C80" s="79" t="s">
        <v>73</v>
      </c>
      <c r="D80" s="105">
        <v>125</v>
      </c>
    </row>
    <row r="81" spans="2:4">
      <c r="B81" s="72"/>
      <c r="C81" s="79" t="s">
        <v>74</v>
      </c>
      <c r="D81" s="105"/>
    </row>
    <row r="82" spans="2:4">
      <c r="B82" s="72"/>
      <c r="C82" s="79" t="s">
        <v>75</v>
      </c>
      <c r="D82" s="105"/>
    </row>
    <row r="83" spans="2:4">
      <c r="B83" s="72"/>
      <c r="C83" s="79" t="s">
        <v>42</v>
      </c>
      <c r="D83" s="106" t="str">
        <f>IF(OR(D43="※ホスト名定義の各項目を入力してください。",D75=0),"",D43&amp;"-"&amp;D75)</f>
        <v/>
      </c>
    </row>
    <row r="84" spans="2:4">
      <c r="B84" s="73"/>
      <c r="C84" s="81" t="s">
        <v>76</v>
      </c>
      <c r="D84" s="107" t="str">
        <f>IF(OR(D43="※ホスト名定義の各項目を入力してください。",D75=0),"",D43&amp;"-"&amp;D75)</f>
        <v/>
      </c>
    </row>
    <row r="85" spans="2:4">
      <c r="B85" s="67" t="s">
        <v>79</v>
      </c>
      <c r="C85" s="58"/>
      <c r="D85" s="93"/>
    </row>
    <row r="86" spans="2:4">
      <c r="B86" s="68"/>
      <c r="C86" s="82" t="s">
        <v>66</v>
      </c>
      <c r="D86" s="61"/>
    </row>
    <row r="87" spans="2:4">
      <c r="B87" s="68"/>
      <c r="C87" s="79" t="s">
        <v>68</v>
      </c>
      <c r="D87" s="91" t="str">
        <f>IF(OR(D86="-",D86=0),"-","xvd"&amp;(LOWER(D86)))</f>
        <v>-</v>
      </c>
    </row>
    <row r="88" spans="2:4">
      <c r="B88" s="68"/>
      <c r="C88" s="79" t="s">
        <v>69</v>
      </c>
      <c r="D88" s="90"/>
    </row>
    <row r="89" spans="2:4">
      <c r="B89" s="68"/>
      <c r="C89" s="79" t="s">
        <v>70</v>
      </c>
      <c r="D89" s="80" t="s">
        <v>71</v>
      </c>
    </row>
    <row r="90" spans="2:4">
      <c r="B90" s="72"/>
      <c r="C90" s="79" t="s">
        <v>72</v>
      </c>
      <c r="D90" s="80">
        <v>3000</v>
      </c>
    </row>
    <row r="91" spans="2:4">
      <c r="B91" s="72"/>
      <c r="C91" s="79" t="s">
        <v>73</v>
      </c>
      <c r="D91" s="105">
        <v>125</v>
      </c>
    </row>
    <row r="92" spans="2:4">
      <c r="B92" s="72"/>
      <c r="C92" s="79" t="s">
        <v>74</v>
      </c>
      <c r="D92" s="105"/>
    </row>
    <row r="93" spans="2:4">
      <c r="B93" s="72"/>
      <c r="C93" s="79" t="s">
        <v>75</v>
      </c>
      <c r="D93" s="105"/>
    </row>
    <row r="94" spans="2:4">
      <c r="B94" s="72"/>
      <c r="C94" s="79" t="s">
        <v>42</v>
      </c>
      <c r="D94" s="106" t="str">
        <f>IF(OR(D43="※ホスト名定義の各項目を入力してください。",D86=0),"",D43&amp;"-"&amp;D86)</f>
        <v/>
      </c>
    </row>
    <row r="95" spans="2:4">
      <c r="B95" s="73"/>
      <c r="C95" s="81" t="s">
        <v>76</v>
      </c>
      <c r="D95" s="107" t="str">
        <f>IF(OR(D43="※ホスト名定義の各項目を入力してください。",D86=0),"",D43&amp;"-"&amp;D86)</f>
        <v/>
      </c>
    </row>
    <row r="96" spans="2:4">
      <c r="B96" s="67" t="s">
        <v>80</v>
      </c>
      <c r="C96" s="58"/>
      <c r="D96" s="93"/>
    </row>
    <row r="97" spans="2:4">
      <c r="B97" s="68"/>
      <c r="C97" s="82" t="s">
        <v>66</v>
      </c>
      <c r="D97" s="61"/>
    </row>
    <row r="98" spans="2:4">
      <c r="B98" s="68"/>
      <c r="C98" s="79" t="s">
        <v>68</v>
      </c>
      <c r="D98" s="91" t="str">
        <f>IF(OR(D97="-",D97=0),"-","xvd"&amp;(LOWER(D97)))</f>
        <v>-</v>
      </c>
    </row>
    <row r="99" spans="2:4">
      <c r="B99" s="68"/>
      <c r="C99" s="79" t="s">
        <v>69</v>
      </c>
      <c r="D99" s="90"/>
    </row>
    <row r="100" spans="2:4">
      <c r="B100" s="68"/>
      <c r="C100" s="79" t="s">
        <v>70</v>
      </c>
      <c r="D100" s="80" t="s">
        <v>71</v>
      </c>
    </row>
    <row r="101" spans="2:4">
      <c r="B101" s="68"/>
      <c r="C101" s="79" t="s">
        <v>72</v>
      </c>
      <c r="D101" s="80">
        <v>3000</v>
      </c>
    </row>
    <row r="102" spans="2:4">
      <c r="B102" s="72"/>
      <c r="C102" s="79" t="s">
        <v>73</v>
      </c>
      <c r="D102" s="105">
        <v>125</v>
      </c>
    </row>
    <row r="103" spans="2:4">
      <c r="B103" s="72"/>
      <c r="C103" s="79" t="s">
        <v>74</v>
      </c>
      <c r="D103" s="105"/>
    </row>
    <row r="104" spans="2:4">
      <c r="B104" s="72"/>
      <c r="C104" s="79" t="s">
        <v>75</v>
      </c>
      <c r="D104" s="105"/>
    </row>
    <row r="105" spans="2:4">
      <c r="B105" s="72"/>
      <c r="C105" s="79" t="s">
        <v>42</v>
      </c>
      <c r="D105" s="106" t="str">
        <f>IF(OR(D43="※ホスト名定義の各項目を入力してください。",D97=0),"",D43&amp;"-"&amp;D97)</f>
        <v/>
      </c>
    </row>
    <row r="106" spans="2:4">
      <c r="B106" s="73"/>
      <c r="C106" s="81" t="s">
        <v>76</v>
      </c>
      <c r="D106" s="107" t="str">
        <f>IF(OR(D43="※ホスト名定義の各項目を入力してください。",D97=0),"",D43&amp;"-"&amp;D97)</f>
        <v/>
      </c>
    </row>
    <row r="107" spans="2:4">
      <c r="B107" s="67" t="s">
        <v>81</v>
      </c>
      <c r="C107" s="58"/>
      <c r="D107" s="93"/>
    </row>
    <row r="108" spans="2:4">
      <c r="B108" s="68"/>
      <c r="C108" s="82" t="s">
        <v>66</v>
      </c>
      <c r="D108" s="61"/>
    </row>
    <row r="109" spans="2:4">
      <c r="B109" s="68"/>
      <c r="C109" s="79" t="s">
        <v>68</v>
      </c>
      <c r="D109" s="91" t="str">
        <f>IF(OR(D108="-",D108=0),"-","xvd"&amp;(LOWER(D108)))</f>
        <v>-</v>
      </c>
    </row>
    <row r="110" spans="2:4">
      <c r="B110" s="68"/>
      <c r="C110" s="79" t="s">
        <v>69</v>
      </c>
      <c r="D110" s="90"/>
    </row>
    <row r="111" spans="2:4">
      <c r="B111" s="68"/>
      <c r="C111" s="79" t="s">
        <v>70</v>
      </c>
      <c r="D111" s="80" t="s">
        <v>71</v>
      </c>
    </row>
    <row r="112" spans="2:4">
      <c r="B112" s="68"/>
      <c r="C112" s="79" t="s">
        <v>72</v>
      </c>
      <c r="D112" s="80">
        <v>3000</v>
      </c>
    </row>
    <row r="113" spans="2:4">
      <c r="B113" s="72"/>
      <c r="C113" s="79" t="s">
        <v>73</v>
      </c>
      <c r="D113" s="105">
        <v>125</v>
      </c>
    </row>
    <row r="114" spans="2:4">
      <c r="B114" s="72"/>
      <c r="C114" s="79" t="s">
        <v>74</v>
      </c>
      <c r="D114" s="105"/>
    </row>
    <row r="115" spans="2:4">
      <c r="B115" s="72"/>
      <c r="C115" s="79" t="s">
        <v>75</v>
      </c>
      <c r="D115" s="105"/>
    </row>
    <row r="116" spans="2:4">
      <c r="B116" s="72"/>
      <c r="C116" s="79" t="s">
        <v>42</v>
      </c>
      <c r="D116" s="106" t="str">
        <f>IF(OR(D43="※ホスト名定義の各項目を入力してください。",D108=0),"",D43&amp;"-"&amp;D108)</f>
        <v/>
      </c>
    </row>
    <row r="117" spans="2:4">
      <c r="B117" s="73"/>
      <c r="C117" s="81" t="s">
        <v>76</v>
      </c>
      <c r="D117" s="107" t="str">
        <f>IF(OR(D43="※ホスト名定義の各項目を入力してください。",D108=0),"",D43&amp;"-"&amp;D108)</f>
        <v/>
      </c>
    </row>
    <row r="118" spans="2:4">
      <c r="B118" s="67" t="s">
        <v>82</v>
      </c>
      <c r="C118" s="58"/>
      <c r="D118" s="93"/>
    </row>
    <row r="119" spans="2:4">
      <c r="B119" s="68"/>
      <c r="C119" s="82" t="s">
        <v>66</v>
      </c>
      <c r="D119" s="61"/>
    </row>
    <row r="120" spans="2:4">
      <c r="B120" s="68"/>
      <c r="C120" s="79" t="s">
        <v>68</v>
      </c>
      <c r="D120" s="91" t="str">
        <f>IF(OR(D119="-",D119=0),"-","xvd"&amp;(LOWER(D119)))</f>
        <v>-</v>
      </c>
    </row>
    <row r="121" spans="2:4">
      <c r="B121" s="68"/>
      <c r="C121" s="79" t="s">
        <v>69</v>
      </c>
      <c r="D121" s="90"/>
    </row>
    <row r="122" spans="2:4">
      <c r="B122" s="68"/>
      <c r="C122" s="79" t="s">
        <v>70</v>
      </c>
      <c r="D122" s="80" t="s">
        <v>71</v>
      </c>
    </row>
    <row r="123" spans="2:4">
      <c r="B123" s="68"/>
      <c r="C123" s="79" t="s">
        <v>72</v>
      </c>
      <c r="D123" s="80">
        <v>3000</v>
      </c>
    </row>
    <row r="124" spans="2:4">
      <c r="B124" s="72"/>
      <c r="C124" s="79" t="s">
        <v>73</v>
      </c>
      <c r="D124" s="105">
        <v>125</v>
      </c>
    </row>
    <row r="125" spans="2:4">
      <c r="B125" s="72"/>
      <c r="C125" s="79" t="s">
        <v>74</v>
      </c>
      <c r="D125" s="105"/>
    </row>
    <row r="126" spans="2:4">
      <c r="B126" s="72"/>
      <c r="C126" s="79" t="s">
        <v>75</v>
      </c>
      <c r="D126" s="105"/>
    </row>
    <row r="127" spans="2:4">
      <c r="B127" s="72"/>
      <c r="C127" s="79" t="s">
        <v>42</v>
      </c>
      <c r="D127" s="106" t="str">
        <f>IF(OR(D43="※ホスト名定義の各項目を入力してください。",D119=0),"",D43&amp;"-"&amp;D119)</f>
        <v/>
      </c>
    </row>
    <row r="128" spans="2:4">
      <c r="B128" s="73"/>
      <c r="C128" s="81" t="s">
        <v>76</v>
      </c>
      <c r="D128" s="107" t="str">
        <f>IF(OR(D43="※ホスト名定義の各項目を入力してください。",D119=0),"",D43&amp;"-"&amp;D119)</f>
        <v/>
      </c>
    </row>
    <row r="129" spans="2:4">
      <c r="B129" s="67" t="s">
        <v>83</v>
      </c>
      <c r="C129" s="58"/>
      <c r="D129" s="93"/>
    </row>
    <row r="130" spans="2:4">
      <c r="B130" s="68"/>
      <c r="C130" s="82" t="s">
        <v>66</v>
      </c>
      <c r="D130" s="61"/>
    </row>
    <row r="131" spans="2:4">
      <c r="B131" s="68"/>
      <c r="C131" s="79" t="s">
        <v>68</v>
      </c>
      <c r="D131" s="91" t="str">
        <f>IF(OR(D130="-",D130=0),"-","xvd"&amp;(LOWER(D130)))</f>
        <v>-</v>
      </c>
    </row>
    <row r="132" spans="2:4">
      <c r="B132" s="68"/>
      <c r="C132" s="79" t="s">
        <v>69</v>
      </c>
      <c r="D132" s="90"/>
    </row>
    <row r="133" spans="2:4">
      <c r="B133" s="68"/>
      <c r="C133" s="79" t="s">
        <v>70</v>
      </c>
      <c r="D133" s="80" t="s">
        <v>71</v>
      </c>
    </row>
    <row r="134" spans="2:4">
      <c r="B134" s="68"/>
      <c r="C134" s="79" t="s">
        <v>72</v>
      </c>
      <c r="D134" s="80">
        <v>3000</v>
      </c>
    </row>
    <row r="135" spans="2:4">
      <c r="B135" s="72"/>
      <c r="C135" s="79" t="s">
        <v>73</v>
      </c>
      <c r="D135" s="105">
        <v>125</v>
      </c>
    </row>
    <row r="136" spans="2:4">
      <c r="B136" s="72"/>
      <c r="C136" s="79" t="s">
        <v>74</v>
      </c>
      <c r="D136" s="105"/>
    </row>
    <row r="137" spans="2:4">
      <c r="B137" s="72"/>
      <c r="C137" s="79" t="s">
        <v>75</v>
      </c>
      <c r="D137" s="105"/>
    </row>
    <row r="138" spans="2:4">
      <c r="B138" s="72"/>
      <c r="C138" s="79" t="s">
        <v>42</v>
      </c>
      <c r="D138" s="106" t="str">
        <f>IF(OR(D43="※ホスト名定義の各項目を入力してください。",D130=0),"",D43&amp;"-"&amp;D130)</f>
        <v/>
      </c>
    </row>
    <row r="139" spans="2:4">
      <c r="B139" s="73"/>
      <c r="C139" s="81" t="s">
        <v>76</v>
      </c>
      <c r="D139" s="107" t="str">
        <f>IF(OR(D43="※ホスト名定義の各項目を入力してください。",D130=0),"",D43&amp;"-"&amp;D130)</f>
        <v/>
      </c>
    </row>
    <row r="140" spans="2:4">
      <c r="B140" s="67" t="s">
        <v>84</v>
      </c>
      <c r="C140" s="58"/>
      <c r="D140" s="93"/>
    </row>
    <row r="141" spans="2:4">
      <c r="B141" s="68"/>
      <c r="C141" s="82" t="s">
        <v>66</v>
      </c>
      <c r="D141" s="61"/>
    </row>
    <row r="142" spans="2:4">
      <c r="B142" s="68"/>
      <c r="C142" s="79" t="s">
        <v>68</v>
      </c>
      <c r="D142" s="91" t="str">
        <f>IF(OR(D141="-",D141=0),"-","xvd"&amp;(LOWER(D141)))</f>
        <v>-</v>
      </c>
    </row>
    <row r="143" spans="2:4">
      <c r="B143" s="68"/>
      <c r="C143" s="79" t="s">
        <v>69</v>
      </c>
      <c r="D143" s="90"/>
    </row>
    <row r="144" spans="2:4">
      <c r="B144" s="68"/>
      <c r="C144" s="79" t="s">
        <v>70</v>
      </c>
      <c r="D144" s="80" t="s">
        <v>71</v>
      </c>
    </row>
    <row r="145" spans="2:4">
      <c r="B145" s="68"/>
      <c r="C145" s="79" t="s">
        <v>72</v>
      </c>
      <c r="D145" s="80">
        <v>3000</v>
      </c>
    </row>
    <row r="146" spans="2:4">
      <c r="B146" s="72"/>
      <c r="C146" s="79" t="s">
        <v>73</v>
      </c>
      <c r="D146" s="105">
        <v>125</v>
      </c>
    </row>
    <row r="147" spans="2:4">
      <c r="B147" s="72"/>
      <c r="C147" s="79" t="s">
        <v>74</v>
      </c>
      <c r="D147" s="105"/>
    </row>
    <row r="148" spans="2:4">
      <c r="B148" s="72"/>
      <c r="C148" s="79" t="s">
        <v>75</v>
      </c>
      <c r="D148" s="105"/>
    </row>
    <row r="149" spans="2:4">
      <c r="B149" s="72"/>
      <c r="C149" s="79" t="s">
        <v>42</v>
      </c>
      <c r="D149" s="106" t="str">
        <f>IF(OR(D43="※ホスト名定義の各項目を入力してください。",D141=0),"",D43&amp;"-"&amp;D141)</f>
        <v/>
      </c>
    </row>
    <row r="150" spans="2:4">
      <c r="B150" s="73"/>
      <c r="C150" s="81" t="s">
        <v>76</v>
      </c>
      <c r="D150" s="107" t="str">
        <f>IF(OR(D43="※ホスト名定義の各項目を入力してください。",D141=0),"",D43&amp;"-"&amp;D141)</f>
        <v/>
      </c>
    </row>
    <row r="151" spans="2:4">
      <c r="B151" s="67" t="s">
        <v>85</v>
      </c>
      <c r="C151" s="58"/>
      <c r="D151" s="93"/>
    </row>
    <row r="152" spans="2:4">
      <c r="B152" s="68"/>
      <c r="C152" s="82" t="s">
        <v>66</v>
      </c>
      <c r="D152" s="61"/>
    </row>
    <row r="153" spans="2:4">
      <c r="B153" s="68"/>
      <c r="C153" s="79" t="s">
        <v>68</v>
      </c>
      <c r="D153" s="91" t="str">
        <f>IF(OR(D152="-",D152=0),"-","xvd"&amp;(LOWER(D152)))</f>
        <v>-</v>
      </c>
    </row>
    <row r="154" spans="2:4">
      <c r="B154" s="68"/>
      <c r="C154" s="79" t="s">
        <v>69</v>
      </c>
      <c r="D154" s="90"/>
    </row>
    <row r="155" spans="2:4">
      <c r="B155" s="68"/>
      <c r="C155" s="79" t="s">
        <v>70</v>
      </c>
      <c r="D155" s="80" t="s">
        <v>71</v>
      </c>
    </row>
    <row r="156" spans="2:4">
      <c r="B156" s="68"/>
      <c r="C156" s="79" t="s">
        <v>72</v>
      </c>
      <c r="D156" s="80">
        <v>3000</v>
      </c>
    </row>
    <row r="157" spans="2:4">
      <c r="B157" s="72"/>
      <c r="C157" s="79" t="s">
        <v>73</v>
      </c>
      <c r="D157" s="105">
        <v>125</v>
      </c>
    </row>
    <row r="158" spans="2:4">
      <c r="B158" s="72"/>
      <c r="C158" s="79" t="s">
        <v>74</v>
      </c>
      <c r="D158" s="105"/>
    </row>
    <row r="159" spans="2:4">
      <c r="B159" s="72"/>
      <c r="C159" s="79" t="s">
        <v>75</v>
      </c>
      <c r="D159" s="105"/>
    </row>
    <row r="160" spans="2:4">
      <c r="B160" s="72"/>
      <c r="C160" s="79" t="s">
        <v>42</v>
      </c>
      <c r="D160" s="106" t="str">
        <f>IF(OR(D43="※ホスト名定義の各項目を入力してください。",D152=0),"",D43&amp;"-"&amp;D152)</f>
        <v/>
      </c>
    </row>
    <row r="161" spans="2:4">
      <c r="B161" s="73"/>
      <c r="C161" s="81" t="s">
        <v>76</v>
      </c>
      <c r="D161" s="107" t="str">
        <f>IF(OR(D43="※ホスト名定義の各項目を入力してください。",D152=0),"",D43&amp;"-"&amp;D152)</f>
        <v/>
      </c>
    </row>
    <row r="162" spans="2:4">
      <c r="B162" s="67" t="s">
        <v>86</v>
      </c>
      <c r="C162" s="58"/>
      <c r="D162" s="93"/>
    </row>
    <row r="163" spans="2:4">
      <c r="B163" s="68"/>
      <c r="C163" s="82" t="s">
        <v>66</v>
      </c>
      <c r="D163" s="61"/>
    </row>
    <row r="164" spans="2:4">
      <c r="B164" s="68"/>
      <c r="C164" s="79" t="s">
        <v>68</v>
      </c>
      <c r="D164" s="91" t="str">
        <f>IF(OR(D163="-",D163=0),"-","xvd"&amp;(LOWER(D163)))</f>
        <v>-</v>
      </c>
    </row>
    <row r="165" spans="2:4">
      <c r="B165" s="68"/>
      <c r="C165" s="79" t="s">
        <v>69</v>
      </c>
      <c r="D165" s="90"/>
    </row>
    <row r="166" spans="2:4">
      <c r="B166" s="68"/>
      <c r="C166" s="79" t="s">
        <v>70</v>
      </c>
      <c r="D166" s="80" t="s">
        <v>71</v>
      </c>
    </row>
    <row r="167" spans="2:4">
      <c r="B167" s="68"/>
      <c r="C167" s="79" t="s">
        <v>72</v>
      </c>
      <c r="D167" s="80">
        <v>3000</v>
      </c>
    </row>
    <row r="168" spans="2:4">
      <c r="B168" s="72"/>
      <c r="C168" s="79" t="s">
        <v>73</v>
      </c>
      <c r="D168" s="105">
        <v>125</v>
      </c>
    </row>
    <row r="169" spans="2:4">
      <c r="B169" s="72"/>
      <c r="C169" s="79" t="s">
        <v>74</v>
      </c>
      <c r="D169" s="105"/>
    </row>
    <row r="170" spans="2:4">
      <c r="B170" s="72"/>
      <c r="C170" s="79" t="s">
        <v>75</v>
      </c>
      <c r="D170" s="105"/>
    </row>
    <row r="171" spans="2:4">
      <c r="B171" s="72"/>
      <c r="C171" s="79" t="s">
        <v>42</v>
      </c>
      <c r="D171" s="106" t="str">
        <f>IF(OR(D43="※ホスト名定義の各項目を入力してください。",D163=0),"",D43&amp;"-"&amp;D163)</f>
        <v/>
      </c>
    </row>
    <row r="172" spans="2:4">
      <c r="B172" s="73"/>
      <c r="C172" s="81" t="s">
        <v>76</v>
      </c>
      <c r="D172" s="107" t="str">
        <f>IF(OR(D43="※ホスト名定義の各項目を入力してください。",D163=0),"",D43&amp;"-"&amp;D163)</f>
        <v/>
      </c>
    </row>
    <row r="173" spans="2:4">
      <c r="B173" s="65" t="s">
        <v>87</v>
      </c>
      <c r="C173" s="60"/>
      <c r="D173" s="69" t="s">
        <v>88</v>
      </c>
    </row>
    <row r="174" spans="2:4">
      <c r="B174" s="65" t="s">
        <v>89</v>
      </c>
      <c r="C174" s="60"/>
      <c r="D174" s="69" t="s">
        <v>90</v>
      </c>
    </row>
    <row r="175" spans="2:4">
      <c r="B175" s="65" t="s">
        <v>91</v>
      </c>
      <c r="C175" s="60"/>
      <c r="D175" s="69"/>
    </row>
    <row r="176" spans="2:4">
      <c r="B176" s="65" t="s">
        <v>92</v>
      </c>
      <c r="C176" s="60"/>
      <c r="D176" s="69" t="s">
        <v>93</v>
      </c>
    </row>
    <row r="177" spans="2:4">
      <c r="B177" s="65" t="s">
        <v>94</v>
      </c>
      <c r="C177" s="60"/>
      <c r="D177" s="69" t="s">
        <v>95</v>
      </c>
    </row>
    <row r="178" spans="2:4" ht="15.75" customHeight="1">
      <c r="B178" s="65" t="s">
        <v>96</v>
      </c>
      <c r="C178" s="60"/>
      <c r="D178" s="69" t="s">
        <v>96</v>
      </c>
    </row>
    <row r="179" spans="2:4" ht="15.75" customHeight="1">
      <c r="B179" s="65" t="s">
        <v>97</v>
      </c>
      <c r="C179" s="60"/>
      <c r="D179" s="83"/>
    </row>
    <row r="180" spans="2:4" ht="15.75" customHeight="1">
      <c r="B180" s="65" t="s">
        <v>98</v>
      </c>
      <c r="C180" s="60"/>
      <c r="D180" s="83"/>
    </row>
    <row r="181" spans="2:4">
      <c r="B181" s="65" t="s">
        <v>99</v>
      </c>
      <c r="C181" s="60"/>
      <c r="D181" s="69"/>
    </row>
    <row r="182" spans="2:4">
      <c r="B182" s="65" t="s">
        <v>100</v>
      </c>
      <c r="C182" s="60"/>
      <c r="D182" s="84"/>
    </row>
  </sheetData>
  <protectedRanges>
    <protectedRange sqref="D36:D41" name="範囲1"/>
  </protectedRanges>
  <phoneticPr fontId="1"/>
  <conditionalFormatting sqref="D27">
    <cfRule type="expression" dxfId="42" priority="4">
      <formula>$D$12="不要"</formula>
    </cfRule>
  </conditionalFormatting>
  <conditionalFormatting sqref="D31">
    <cfRule type="expression" dxfId="41" priority="3">
      <formula>$D$12="不要"</formula>
    </cfRule>
  </conditionalFormatting>
  <conditionalFormatting sqref="D75:D84">
    <cfRule type="expression" dxfId="40" priority="30">
      <formula>$D$75=0</formula>
    </cfRule>
  </conditionalFormatting>
  <conditionalFormatting sqref="D86:D95">
    <cfRule type="expression" dxfId="39" priority="29">
      <formula>$D$86=0</formula>
    </cfRule>
  </conditionalFormatting>
  <conditionalFormatting sqref="D97:D106">
    <cfRule type="expression" dxfId="38" priority="28">
      <formula>$D$97=0</formula>
    </cfRule>
  </conditionalFormatting>
  <conditionalFormatting sqref="D108:D117">
    <cfRule type="expression" dxfId="37" priority="27">
      <formula>$D$108=0</formula>
    </cfRule>
  </conditionalFormatting>
  <conditionalFormatting sqref="D119:D128">
    <cfRule type="expression" dxfId="36" priority="26">
      <formula>$D$119=0</formula>
    </cfRule>
  </conditionalFormatting>
  <conditionalFormatting sqref="D130:D139">
    <cfRule type="expression" dxfId="35" priority="25">
      <formula>$D$130=0</formula>
    </cfRule>
  </conditionalFormatting>
  <conditionalFormatting sqref="D141:D150">
    <cfRule type="expression" dxfId="34" priority="24">
      <formula>$D$141=0</formula>
    </cfRule>
  </conditionalFormatting>
  <conditionalFormatting sqref="D152:D161">
    <cfRule type="expression" dxfId="33" priority="23">
      <formula>$D$152=0</formula>
    </cfRule>
  </conditionalFormatting>
  <conditionalFormatting sqref="D163:D172">
    <cfRule type="expression" dxfId="32" priority="1">
      <formula>$D$163=0</formula>
    </cfRule>
  </conditionalFormatting>
  <dataValidations count="18">
    <dataValidation type="list" allowBlank="1" showInputMessage="1" sqref="D51:D52" xr:uid="{A9EDA0B1-0509-4178-AB7E-FD1E023A3F73}">
      <formula1>"有効,無効"</formula1>
    </dataValidation>
    <dataValidation type="list" allowBlank="1" showInputMessage="1" sqref="D58 D54" xr:uid="{EE540028-7D63-45F2-A8DD-F1C5247F4B26}">
      <formula1>"internal,remote"</formula1>
    </dataValidation>
    <dataValidation type="list" allowBlank="1" showInputMessage="1" sqref="D166 D67 D78 D89 D100 D111 D122 D133 D144 D155" xr:uid="{6D821C5A-0663-4E7D-8BCF-7AAF94DC068A}">
      <formula1>INDIRECT("EBSボリュームタイプ[ボリュームタイプ]")</formula1>
    </dataValidation>
    <dataValidation type="list" allowBlank="1" showInputMessage="1" showErrorMessage="1" sqref="D20" xr:uid="{B0DC94D6-D982-4DFE-888B-9345EF847315}">
      <formula1>INDIRECT("アベイラビリティゾーン[アベイラビリティゾーン]")</formula1>
    </dataValidation>
    <dataValidation type="list" allowBlank="1" showInputMessage="1" sqref="D152 D75 D163 D86 D97 D108 D119 D141 D130" xr:uid="{444C9109-2757-4EAE-9051-5461DDD6DB3C}">
      <formula1>"-,D,E,F,G,H,I,J,K,L,M,N,O,P,Q,R,S,T,U,V,W"</formula1>
    </dataValidation>
    <dataValidation type="list" allowBlank="1" showInputMessage="1" sqref="D61" xr:uid="{878C0D4F-A0ED-4DA5-9F97-48662862F279}">
      <formula1>INDIRECT("IAMRole[Windows_1]")</formula1>
    </dataValidation>
    <dataValidation type="list" allowBlank="1" showInputMessage="1" sqref="D14" xr:uid="{A97B3416-1857-47F8-A84D-8AF77805D086}">
      <formula1>_xlfn.IFS(AND(D10="本番",D11="外部利用"),INDIRECT("アカウント本番外部[本番外部]"),AND(D10="本番",D11="内部利用"),INDIRECT("アカウント本番内部[本番内部]"),AND(D10="開発",D11="外部利用"),INDIRECT("アカウント開発外部[開発外部]"),AND(D10="開発",D11="内部利用"),INDIRECT("アカウント開発内部[開発内部]"))</formula1>
    </dataValidation>
    <dataValidation type="list" allowBlank="1" showInputMessage="1" showErrorMessage="1" sqref="D19:D20" xr:uid="{4BBC8DBD-5745-41CA-8640-7078D4A2FC5E}">
      <formula1>_xlfn.IFS(MID(D14,6,2)="内部",INDIRECT("内部[サブネット]"),MID(D14,6,2)="外部",INDIRECT("外部[サブネット]"))</formula1>
    </dataValidation>
    <dataValidation type="list" allowBlank="1" showInputMessage="1" sqref="D8" xr:uid="{C1F5FC8F-0754-40FD-AAA2-12843FAE61EF}">
      <formula1>INDIRECT("ランドスケープ[名前]")</formula1>
    </dataValidation>
    <dataValidation type="list" allowBlank="1" showInputMessage="1" sqref="D11" xr:uid="{8090A7A0-5FD5-47BD-A0CD-7058B188BEDA}">
      <formula1>"外部利用,内部利用"</formula1>
    </dataValidation>
    <dataValidation type="list" allowBlank="1" showInputMessage="1" sqref="D12" xr:uid="{AD6FF8F9-8B1B-4489-953D-FB22CD6F39B4}">
      <formula1>_xlfn.IFS(D11="内部利用",INDIRECT("内部パブリックIPアドレス[パブリックIPアドレス]"),D11="外部利用",INDIRECT("外部パブリックIPアドレス[パブリックIPアドレス]"))</formula1>
    </dataValidation>
    <dataValidation type="list" allowBlank="1" showInputMessage="1" sqref="D38" xr:uid="{69522E56-A025-4DC2-96AE-41442FF6E329}">
      <formula1>INDIRECT("会社コード[会社コード]")</formula1>
    </dataValidation>
    <dataValidation type="list" allowBlank="1" showInputMessage="1" sqref="D39" xr:uid="{74B51B60-145D-4836-A61A-C8461A285A01}">
      <formula1>INDIRECT("AWSリージョン[AWSリージョン]")</formula1>
    </dataValidation>
    <dataValidation type="list" allowBlank="1" showInputMessage="1" sqref="D40" xr:uid="{2F516808-700D-47DD-B109-8630EE6B4C9B}">
      <formula1>INDIRECT("サーバ種類[サーバ種類]")</formula1>
    </dataValidation>
    <dataValidation type="list" allowBlank="1" showInputMessage="1" sqref="D45" xr:uid="{37678DB3-E743-4022-8090-1F05E9A4305B}">
      <formula1>INDIRECT("インスタンスタイプ[表示]")</formula1>
    </dataValidation>
    <dataValidation type="list" allowBlank="1" showInputMessage="1" sqref="D48" xr:uid="{9A970B75-5AB1-4F2D-9D45-A08AA5B391FF}">
      <formula1>INDIRECT("OS_Windows[OS]")</formula1>
    </dataValidation>
    <dataValidation type="list" allowBlank="1" showInputMessage="1" sqref="D64" xr:uid="{37A22022-C390-41ED-9BBD-653A77770054}">
      <formula1>"C"</formula1>
    </dataValidation>
    <dataValidation type="textLength" operator="lessThanOrEqual" allowBlank="1" showInputMessage="1" showErrorMessage="1" sqref="D36" xr:uid="{05C7589C-C719-4EF7-8842-003E55EC88DC}">
      <formula1>3</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C52D-A9DB-41FC-AE36-1B9D80C47DF5}">
  <sheetPr>
    <pageSetUpPr fitToPage="1"/>
  </sheetPr>
  <dimension ref="A1:L35"/>
  <sheetViews>
    <sheetView workbookViewId="0"/>
  </sheetViews>
  <sheetFormatPr defaultColWidth="2.5" defaultRowHeight="12.5"/>
  <cols>
    <col min="1" max="2" width="2.08203125" style="283" customWidth="1"/>
    <col min="3" max="5" width="2.5" style="283"/>
    <col min="6" max="6" width="2.08203125" style="283" customWidth="1"/>
    <col min="7" max="7" width="5.4140625" style="283" customWidth="1"/>
    <col min="8" max="8" width="13.5" style="283" customWidth="1"/>
    <col min="9" max="9" width="80.08203125" style="283" bestFit="1" customWidth="1"/>
    <col min="10" max="10" width="17.6640625" style="283" customWidth="1"/>
    <col min="11" max="16384" width="2.5" style="283"/>
  </cols>
  <sheetData>
    <row r="1" spans="1:12" s="282" customFormat="1" ht="24.5">
      <c r="A1" s="280" t="s">
        <v>101</v>
      </c>
      <c r="B1" s="280"/>
      <c r="C1" s="280"/>
      <c r="D1" s="280"/>
      <c r="E1" s="280"/>
      <c r="F1" s="280"/>
      <c r="G1" s="280"/>
      <c r="H1" s="280"/>
      <c r="I1" s="280"/>
      <c r="J1" s="280"/>
      <c r="K1" s="280"/>
      <c r="L1" s="281"/>
    </row>
    <row r="3" spans="1:12" ht="16">
      <c r="G3" s="284" t="s">
        <v>102</v>
      </c>
      <c r="H3" s="294"/>
    </row>
    <row r="4" spans="1:12" ht="13" thickBot="1">
      <c r="G4" s="285" t="s">
        <v>103</v>
      </c>
      <c r="H4" s="286" t="s">
        <v>104</v>
      </c>
      <c r="I4" s="286" t="s">
        <v>105</v>
      </c>
      <c r="J4" s="287" t="s">
        <v>106</v>
      </c>
    </row>
    <row r="5" spans="1:12" ht="13" thickTop="1">
      <c r="G5" s="288" t="s">
        <v>107</v>
      </c>
      <c r="H5" s="289">
        <v>44496</v>
      </c>
      <c r="I5" s="290" t="s">
        <v>108</v>
      </c>
      <c r="J5" s="291" t="s">
        <v>109</v>
      </c>
    </row>
    <row r="6" spans="1:12">
      <c r="G6" s="288"/>
      <c r="H6" s="289">
        <v>44505</v>
      </c>
      <c r="I6" s="292" t="s">
        <v>608</v>
      </c>
      <c r="J6" s="293" t="s">
        <v>609</v>
      </c>
    </row>
    <row r="7" spans="1:12" ht="25">
      <c r="G7" s="288"/>
      <c r="H7" s="289">
        <v>44508</v>
      </c>
      <c r="I7" s="292" t="s">
        <v>610</v>
      </c>
      <c r="J7" s="293" t="s">
        <v>609</v>
      </c>
    </row>
    <row r="8" spans="1:12" ht="62.5">
      <c r="G8" s="288"/>
      <c r="H8" s="289">
        <v>44524</v>
      </c>
      <c r="I8" s="292" t="s">
        <v>625</v>
      </c>
      <c r="J8" s="293" t="s">
        <v>609</v>
      </c>
    </row>
    <row r="9" spans="1:12" ht="37.5">
      <c r="G9" s="288"/>
      <c r="H9" s="289">
        <v>44529</v>
      </c>
      <c r="I9" s="292" t="s">
        <v>628</v>
      </c>
      <c r="J9" s="293" t="s">
        <v>609</v>
      </c>
    </row>
    <row r="10" spans="1:12">
      <c r="G10" s="288"/>
      <c r="H10" s="289">
        <v>44533</v>
      </c>
      <c r="I10" s="292" t="s">
        <v>629</v>
      </c>
      <c r="J10" s="293" t="s">
        <v>609</v>
      </c>
    </row>
    <row r="11" spans="1:12" ht="25">
      <c r="G11" s="288"/>
      <c r="H11" s="289">
        <v>44539</v>
      </c>
      <c r="I11" s="292" t="s">
        <v>667</v>
      </c>
      <c r="J11" s="293" t="s">
        <v>609</v>
      </c>
    </row>
    <row r="12" spans="1:12">
      <c r="G12" s="288"/>
      <c r="H12" s="289">
        <v>44546</v>
      </c>
      <c r="I12" s="292" t="s">
        <v>703</v>
      </c>
      <c r="J12" s="293" t="s">
        <v>609</v>
      </c>
    </row>
    <row r="13" spans="1:12">
      <c r="G13" s="288"/>
      <c r="H13" s="289">
        <v>44575</v>
      </c>
      <c r="I13" s="292" t="s">
        <v>714</v>
      </c>
      <c r="J13" s="293" t="s">
        <v>609</v>
      </c>
    </row>
    <row r="14" spans="1:12">
      <c r="G14" s="288"/>
      <c r="H14" s="289">
        <v>44578</v>
      </c>
      <c r="I14" s="292" t="s">
        <v>718</v>
      </c>
      <c r="J14" s="293" t="s">
        <v>609</v>
      </c>
    </row>
    <row r="15" spans="1:12">
      <c r="G15" s="288"/>
      <c r="H15" s="289">
        <v>44580</v>
      </c>
      <c r="I15" s="292" t="s">
        <v>727</v>
      </c>
      <c r="J15" s="293" t="s">
        <v>609</v>
      </c>
    </row>
    <row r="16" spans="1:12" ht="37.5">
      <c r="G16" s="288"/>
      <c r="H16" s="289">
        <v>44634</v>
      </c>
      <c r="I16" s="292" t="s">
        <v>729</v>
      </c>
      <c r="J16" s="291" t="s">
        <v>728</v>
      </c>
    </row>
    <row r="17" spans="7:10">
      <c r="G17" s="288"/>
      <c r="H17" s="289">
        <v>44635</v>
      </c>
      <c r="I17" s="292" t="s">
        <v>772</v>
      </c>
      <c r="J17" s="291" t="s">
        <v>728</v>
      </c>
    </row>
    <row r="18" spans="7:10" ht="37.5">
      <c r="G18" s="288"/>
      <c r="H18" s="289">
        <v>44642</v>
      </c>
      <c r="I18" s="292" t="s">
        <v>820</v>
      </c>
      <c r="J18" s="291" t="s">
        <v>728</v>
      </c>
    </row>
    <row r="19" spans="7:10" ht="25">
      <c r="G19" s="288"/>
      <c r="H19" s="289">
        <v>44648</v>
      </c>
      <c r="I19" s="292" t="s">
        <v>826</v>
      </c>
      <c r="J19" s="291" t="s">
        <v>728</v>
      </c>
    </row>
    <row r="20" spans="7:10" ht="62.5">
      <c r="G20" s="288"/>
      <c r="H20" s="289">
        <v>44657</v>
      </c>
      <c r="I20" s="292" t="s">
        <v>827</v>
      </c>
      <c r="J20" s="291" t="s">
        <v>728</v>
      </c>
    </row>
    <row r="21" spans="7:10">
      <c r="G21" s="288"/>
      <c r="H21" s="289">
        <v>44658</v>
      </c>
      <c r="I21" s="292" t="s">
        <v>828</v>
      </c>
      <c r="J21" s="291" t="s">
        <v>728</v>
      </c>
    </row>
    <row r="22" spans="7:10">
      <c r="G22" s="288"/>
      <c r="H22" s="289">
        <v>44671</v>
      </c>
      <c r="I22" s="292" t="s">
        <v>772</v>
      </c>
      <c r="J22" s="291" t="s">
        <v>728</v>
      </c>
    </row>
    <row r="23" spans="7:10">
      <c r="G23" s="288"/>
      <c r="H23" s="289">
        <v>44741</v>
      </c>
      <c r="I23" s="292" t="s">
        <v>864</v>
      </c>
      <c r="J23" s="291" t="s">
        <v>728</v>
      </c>
    </row>
    <row r="24" spans="7:10">
      <c r="G24" s="288"/>
      <c r="H24" s="289">
        <v>44754</v>
      </c>
      <c r="I24" s="292" t="s">
        <v>865</v>
      </c>
      <c r="J24" s="291" t="s">
        <v>728</v>
      </c>
    </row>
    <row r="25" spans="7:10">
      <c r="G25" s="288"/>
      <c r="H25" s="289">
        <v>44756</v>
      </c>
      <c r="I25" s="292" t="s">
        <v>867</v>
      </c>
      <c r="J25" s="291" t="s">
        <v>728</v>
      </c>
    </row>
    <row r="26" spans="7:10">
      <c r="G26" s="288"/>
      <c r="H26" s="289">
        <v>44790</v>
      </c>
      <c r="I26" s="292" t="s">
        <v>868</v>
      </c>
      <c r="J26" s="291" t="s">
        <v>728</v>
      </c>
    </row>
    <row r="27" spans="7:10">
      <c r="G27" s="288"/>
      <c r="H27" s="289">
        <v>44937</v>
      </c>
      <c r="I27" s="292" t="s">
        <v>885</v>
      </c>
      <c r="J27" s="291" t="s">
        <v>728</v>
      </c>
    </row>
    <row r="28" spans="7:10" ht="25">
      <c r="G28" s="288"/>
      <c r="H28" s="289">
        <v>44951</v>
      </c>
      <c r="I28" s="292" t="s">
        <v>896</v>
      </c>
      <c r="J28" s="291" t="s">
        <v>728</v>
      </c>
    </row>
    <row r="29" spans="7:10" ht="37.5">
      <c r="G29" s="288"/>
      <c r="H29" s="289">
        <v>45581</v>
      </c>
      <c r="I29" s="292" t="s">
        <v>1072</v>
      </c>
      <c r="J29" s="291" t="s">
        <v>728</v>
      </c>
    </row>
    <row r="30" spans="7:10">
      <c r="G30" s="288"/>
      <c r="H30" s="289"/>
      <c r="I30" s="292"/>
      <c r="J30" s="291"/>
    </row>
    <row r="31" spans="7:10">
      <c r="G31" s="288"/>
      <c r="H31" s="289"/>
      <c r="I31" s="292"/>
      <c r="J31" s="291"/>
    </row>
    <row r="32" spans="7:10">
      <c r="G32" s="288"/>
      <c r="H32" s="289"/>
      <c r="I32" s="292"/>
      <c r="J32" s="291"/>
    </row>
    <row r="33" spans="7:10">
      <c r="G33" s="288"/>
      <c r="H33" s="289"/>
      <c r="I33" s="292"/>
      <c r="J33" s="291"/>
    </row>
    <row r="34" spans="7:10">
      <c r="G34" s="288"/>
      <c r="H34" s="289"/>
      <c r="I34" s="292"/>
      <c r="J34" s="291"/>
    </row>
    <row r="35" spans="7:10">
      <c r="G35" s="288"/>
      <c r="H35" s="289"/>
      <c r="I35" s="292"/>
      <c r="J35" s="291"/>
    </row>
  </sheetData>
  <phoneticPr fontId="1"/>
  <printOptions horizontalCentered="1"/>
  <pageMargins left="0.70866141732283472" right="0.70866141732283472" top="0.74803149606299213" bottom="0.74803149606299213" header="0.31496062992125984" footer="0.31496062992125984"/>
  <pageSetup paperSize="9" scale="73"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FDB3-9318-42CE-BB05-AB74A1C2D286}">
  <sheetPr codeName="Sheet2"/>
  <dimension ref="A1:AQ555"/>
  <sheetViews>
    <sheetView showGridLines="0" topLeftCell="A96" zoomScaleNormal="100" workbookViewId="0">
      <selection activeCell="L120" sqref="L120"/>
    </sheetView>
  </sheetViews>
  <sheetFormatPr defaultColWidth="9" defaultRowHeight="16"/>
  <cols>
    <col min="1" max="1" width="9" style="63"/>
    <col min="2" max="2" width="4.5" style="63" customWidth="1"/>
    <col min="3" max="11" width="5.5" style="63" customWidth="1"/>
    <col min="12" max="12" width="70.5" style="135" customWidth="1"/>
    <col min="13" max="43" width="4.5" style="63" customWidth="1"/>
    <col min="44" max="44" width="10.6640625" style="63" bestFit="1" customWidth="1"/>
    <col min="45" max="47" width="9" style="63"/>
    <col min="48" max="48" width="10.6640625" style="63" bestFit="1" customWidth="1"/>
    <col min="49" max="16384" width="9" style="63"/>
  </cols>
  <sheetData>
    <row r="1" spans="1:43" ht="24.5">
      <c r="A1" s="62" t="s">
        <v>1173</v>
      </c>
      <c r="B1" s="62"/>
      <c r="C1" s="62"/>
      <c r="D1" s="62"/>
      <c r="E1" s="62"/>
      <c r="F1" s="62"/>
      <c r="G1" s="62"/>
      <c r="H1" s="62"/>
      <c r="I1" s="62"/>
      <c r="J1" s="62"/>
      <c r="K1" s="62"/>
      <c r="L1" s="188"/>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row>
    <row r="3" spans="1:43">
      <c r="C3" s="124" t="s">
        <v>110</v>
      </c>
    </row>
    <row r="4" spans="1:43">
      <c r="B4" s="136"/>
      <c r="C4" s="168" t="s">
        <v>111</v>
      </c>
      <c r="D4" s="169"/>
      <c r="E4" s="169"/>
      <c r="F4" s="169"/>
      <c r="G4" s="169"/>
      <c r="H4" s="169"/>
      <c r="I4" s="169"/>
      <c r="J4" s="169"/>
      <c r="K4" s="170"/>
      <c r="O4" s="135"/>
    </row>
    <row r="5" spans="1:43">
      <c r="B5" s="136"/>
      <c r="C5" s="111" t="s">
        <v>112</v>
      </c>
      <c r="D5" s="171"/>
      <c r="E5" s="171"/>
      <c r="F5" s="171"/>
      <c r="G5" s="171"/>
      <c r="H5" s="171"/>
      <c r="I5" s="171"/>
      <c r="J5" s="171"/>
      <c r="K5" s="112"/>
      <c r="O5" s="135"/>
    </row>
    <row r="6" spans="1:43">
      <c r="B6" s="136"/>
      <c r="C6" s="172" t="s">
        <v>113</v>
      </c>
      <c r="D6" s="173"/>
      <c r="E6" s="173"/>
      <c r="F6" s="173"/>
      <c r="G6" s="173"/>
      <c r="H6" s="173"/>
      <c r="I6" s="173"/>
      <c r="J6" s="173"/>
      <c r="K6" s="174"/>
      <c r="O6" s="135"/>
    </row>
    <row r="7" spans="1:43" ht="16.5" thickBot="1"/>
    <row r="8" spans="1:43" ht="19.5" customHeight="1">
      <c r="C8" s="153" t="s">
        <v>3</v>
      </c>
      <c r="D8" s="154"/>
      <c r="E8" s="154"/>
      <c r="F8" s="154"/>
      <c r="G8" s="154"/>
      <c r="H8" s="154"/>
      <c r="I8" s="154"/>
      <c r="J8" s="154"/>
      <c r="K8" s="154"/>
      <c r="L8" s="233" t="s">
        <v>114</v>
      </c>
    </row>
    <row r="9" spans="1:43" ht="18.75" customHeight="1">
      <c r="C9" s="155" t="s">
        <v>4</v>
      </c>
      <c r="D9" s="114"/>
      <c r="E9" s="114"/>
      <c r="F9" s="114"/>
      <c r="G9" s="114"/>
      <c r="H9" s="114"/>
      <c r="I9" s="114"/>
      <c r="J9" s="114"/>
      <c r="K9" s="114"/>
      <c r="L9" s="189"/>
    </row>
    <row r="10" spans="1:43" ht="18.75" customHeight="1">
      <c r="C10" s="155" t="s">
        <v>115</v>
      </c>
      <c r="D10" s="114"/>
      <c r="E10" s="114"/>
      <c r="F10" s="114"/>
      <c r="G10" s="114"/>
      <c r="H10" s="114"/>
      <c r="I10" s="114"/>
      <c r="J10" s="114"/>
      <c r="K10" s="114"/>
      <c r="L10" s="191"/>
    </row>
    <row r="11" spans="1:43">
      <c r="C11" s="156" t="s">
        <v>5</v>
      </c>
      <c r="D11" s="58"/>
      <c r="E11" s="58"/>
      <c r="F11" s="58"/>
      <c r="G11" s="58"/>
      <c r="H11" s="58"/>
      <c r="I11" s="58"/>
      <c r="J11" s="58"/>
      <c r="K11" s="58"/>
      <c r="L11" s="191"/>
    </row>
    <row r="12" spans="1:43">
      <c r="C12" s="156" t="s">
        <v>116</v>
      </c>
      <c r="D12" s="58"/>
      <c r="E12" s="58"/>
      <c r="F12" s="58"/>
      <c r="G12" s="58"/>
      <c r="H12" s="58"/>
      <c r="I12" s="58"/>
      <c r="J12" s="58"/>
      <c r="K12" s="58"/>
      <c r="L12" s="190"/>
    </row>
    <row r="13" spans="1:43" ht="19.5" hidden="1" customHeight="1">
      <c r="C13" s="156" t="s">
        <v>117</v>
      </c>
      <c r="D13" s="58"/>
      <c r="E13" s="58"/>
      <c r="F13" s="58"/>
      <c r="G13" s="58"/>
      <c r="H13" s="58"/>
      <c r="I13" s="58"/>
      <c r="J13" s="58"/>
      <c r="K13" s="58"/>
      <c r="L13" s="190"/>
    </row>
    <row r="14" spans="1:43" ht="16.5" customHeight="1">
      <c r="C14" s="156" t="s">
        <v>118</v>
      </c>
      <c r="D14" s="157"/>
      <c r="E14" s="157"/>
      <c r="F14" s="157"/>
      <c r="G14" s="157"/>
      <c r="H14" s="157"/>
      <c r="I14" s="157"/>
      <c r="J14" s="157"/>
      <c r="K14" s="157"/>
      <c r="L14" s="192"/>
    </row>
    <row r="15" spans="1:43">
      <c r="C15" s="156" t="s">
        <v>119</v>
      </c>
      <c r="D15" s="58"/>
      <c r="E15" s="58"/>
      <c r="F15" s="58"/>
      <c r="G15" s="58"/>
      <c r="H15" s="58"/>
      <c r="I15" s="58"/>
      <c r="J15" s="58"/>
      <c r="K15" s="58"/>
      <c r="L15" s="193"/>
    </row>
    <row r="16" spans="1:43">
      <c r="C16" s="156" t="s">
        <v>120</v>
      </c>
      <c r="D16" s="58"/>
      <c r="E16" s="58"/>
      <c r="F16" s="58"/>
      <c r="G16" s="58"/>
      <c r="H16" s="58"/>
      <c r="I16" s="58"/>
      <c r="J16" s="58"/>
      <c r="K16" s="58"/>
      <c r="L16" s="194"/>
    </row>
    <row r="17" spans="3:12" ht="49.5" customHeight="1">
      <c r="C17" s="156" t="s">
        <v>121</v>
      </c>
      <c r="D17" s="58"/>
      <c r="E17" s="58"/>
      <c r="F17" s="58"/>
      <c r="G17" s="58"/>
      <c r="H17" s="58"/>
      <c r="I17" s="58"/>
      <c r="J17" s="58"/>
      <c r="K17" s="58"/>
      <c r="L17" s="278"/>
    </row>
    <row r="18" spans="3:12">
      <c r="C18" s="158" t="s">
        <v>122</v>
      </c>
      <c r="D18" s="133"/>
      <c r="E18" s="133"/>
      <c r="F18" s="133"/>
      <c r="G18" s="133"/>
      <c r="H18" s="133"/>
      <c r="I18" s="133"/>
      <c r="J18" s="133"/>
      <c r="K18" s="133"/>
      <c r="L18" s="187"/>
    </row>
    <row r="19" spans="3:12" ht="16.5" customHeight="1">
      <c r="C19" s="158"/>
      <c r="D19" s="116" t="s">
        <v>123</v>
      </c>
      <c r="E19" s="122"/>
      <c r="F19" s="122"/>
      <c r="G19" s="122"/>
      <c r="H19" s="122"/>
      <c r="I19" s="122"/>
      <c r="J19" s="122"/>
      <c r="K19" s="122"/>
      <c r="L19" s="195"/>
    </row>
    <row r="20" spans="3:12" ht="16.5" customHeight="1">
      <c r="C20" s="159"/>
      <c r="D20" s="117" t="s">
        <v>35</v>
      </c>
      <c r="E20" s="118"/>
      <c r="F20" s="118"/>
      <c r="G20" s="118"/>
      <c r="H20" s="118"/>
      <c r="I20" s="118"/>
      <c r="J20" s="118"/>
      <c r="K20" s="118"/>
      <c r="L20" s="196"/>
    </row>
    <row r="21" spans="3:12" ht="16.5" customHeight="1">
      <c r="C21" s="159"/>
      <c r="D21" s="117" t="s">
        <v>36</v>
      </c>
      <c r="E21" s="118"/>
      <c r="F21" s="118"/>
      <c r="G21" s="118"/>
      <c r="H21" s="118"/>
      <c r="I21" s="118"/>
      <c r="J21" s="118"/>
      <c r="K21" s="118"/>
      <c r="L21" s="197"/>
    </row>
    <row r="22" spans="3:12" ht="16.5" customHeight="1">
      <c r="C22" s="159"/>
      <c r="D22" s="117" t="s">
        <v>124</v>
      </c>
      <c r="E22" s="149"/>
      <c r="F22" s="149"/>
      <c r="G22" s="149"/>
      <c r="H22" s="149"/>
      <c r="I22" s="149"/>
      <c r="J22" s="149"/>
      <c r="K22" s="149"/>
      <c r="L22" s="196"/>
    </row>
    <row r="23" spans="3:12" ht="16.5" customHeight="1">
      <c r="C23" s="159"/>
      <c r="D23" s="117" t="s">
        <v>38</v>
      </c>
      <c r="E23" s="149"/>
      <c r="F23" s="149"/>
      <c r="G23" s="149"/>
      <c r="H23" s="149"/>
      <c r="I23" s="149"/>
      <c r="J23" s="149"/>
      <c r="K23" s="149"/>
      <c r="L23" s="197"/>
    </row>
    <row r="24" spans="3:12" ht="16.5" customHeight="1">
      <c r="C24" s="160"/>
      <c r="D24" s="119" t="s">
        <v>39</v>
      </c>
      <c r="E24" s="152"/>
      <c r="F24" s="152"/>
      <c r="G24" s="152"/>
      <c r="H24" s="152"/>
      <c r="I24" s="152"/>
      <c r="J24" s="152"/>
      <c r="K24" s="152"/>
      <c r="L24" s="198"/>
    </row>
    <row r="25" spans="3:12" ht="16.5" customHeight="1">
      <c r="C25" s="158" t="s">
        <v>125</v>
      </c>
      <c r="D25" s="133"/>
      <c r="E25" s="133"/>
      <c r="F25" s="133"/>
      <c r="G25" s="133"/>
      <c r="H25" s="133"/>
      <c r="I25" s="133"/>
      <c r="J25" s="133"/>
      <c r="K25" s="133"/>
      <c r="L25" s="187"/>
    </row>
    <row r="26" spans="3:12" ht="16.5" customHeight="1">
      <c r="C26" s="158"/>
      <c r="D26" s="116" t="s">
        <v>126</v>
      </c>
      <c r="E26" s="122"/>
      <c r="F26" s="122"/>
      <c r="G26" s="122"/>
      <c r="H26" s="122"/>
      <c r="I26" s="122"/>
      <c r="J26" s="122"/>
      <c r="K26" s="122"/>
      <c r="L26" s="195"/>
    </row>
    <row r="27" spans="3:12">
      <c r="C27" s="159"/>
      <c r="D27" s="117" t="s">
        <v>127</v>
      </c>
      <c r="E27" s="118"/>
      <c r="F27" s="118"/>
      <c r="G27" s="118"/>
      <c r="H27" s="118"/>
      <c r="I27" s="118"/>
      <c r="J27" s="118"/>
      <c r="K27" s="131"/>
      <c r="L27" s="199"/>
    </row>
    <row r="28" spans="3:12" ht="125.15" customHeight="1">
      <c r="C28" s="156" t="s">
        <v>98</v>
      </c>
      <c r="D28" s="58"/>
      <c r="E28" s="58"/>
      <c r="F28" s="58"/>
      <c r="G28" s="58"/>
      <c r="H28" s="58"/>
      <c r="I28" s="58"/>
      <c r="J28" s="58"/>
      <c r="K28" s="58"/>
      <c r="L28" s="275"/>
    </row>
    <row r="29" spans="3:12" ht="125.15" customHeight="1">
      <c r="C29" s="156" t="s">
        <v>99</v>
      </c>
      <c r="D29" s="58"/>
      <c r="E29" s="58"/>
      <c r="F29" s="58"/>
      <c r="G29" s="58"/>
      <c r="H29" s="58"/>
      <c r="I29" s="58"/>
      <c r="J29" s="58"/>
      <c r="K29" s="58"/>
      <c r="L29" s="189"/>
    </row>
    <row r="30" spans="3:12">
      <c r="C30" s="155" t="s">
        <v>65</v>
      </c>
      <c r="D30" s="58"/>
      <c r="E30" s="58"/>
      <c r="F30" s="58"/>
      <c r="G30" s="58"/>
      <c r="H30" s="58"/>
      <c r="I30" s="58"/>
      <c r="J30" s="58"/>
      <c r="K30" s="58"/>
      <c r="L30" s="187"/>
    </row>
    <row r="31" spans="3:12" ht="18.75" customHeight="1">
      <c r="C31" s="158"/>
      <c r="D31" s="116" t="s">
        <v>66</v>
      </c>
      <c r="E31" s="122"/>
      <c r="F31" s="122"/>
      <c r="G31" s="122"/>
      <c r="H31" s="122"/>
      <c r="I31" s="122"/>
      <c r="J31" s="122"/>
      <c r="K31" s="122"/>
      <c r="L31" s="183"/>
    </row>
    <row r="32" spans="3:12" ht="18">
      <c r="C32" s="158"/>
      <c r="D32" s="117" t="s">
        <v>128</v>
      </c>
      <c r="E32" s="149"/>
      <c r="F32" s="149"/>
      <c r="G32" s="149"/>
      <c r="H32" s="118"/>
      <c r="I32" s="118"/>
      <c r="J32" s="118"/>
      <c r="K32" s="118"/>
      <c r="L32" s="184"/>
    </row>
    <row r="33" spans="3:12" ht="18">
      <c r="C33" s="158"/>
      <c r="D33" s="117" t="s">
        <v>70</v>
      </c>
      <c r="E33" s="149"/>
      <c r="F33" s="149"/>
      <c r="G33" s="149"/>
      <c r="H33" s="118"/>
      <c r="I33" s="118"/>
      <c r="J33" s="118"/>
      <c r="K33" s="118"/>
      <c r="L33" s="185"/>
    </row>
    <row r="34" spans="3:12" ht="18">
      <c r="C34" s="159"/>
      <c r="D34" s="117" t="s">
        <v>72</v>
      </c>
      <c r="E34" s="149"/>
      <c r="F34" s="149"/>
      <c r="G34" s="149"/>
      <c r="H34" s="118"/>
      <c r="I34" s="118"/>
      <c r="J34" s="118"/>
      <c r="K34" s="118"/>
      <c r="L34" s="185"/>
    </row>
    <row r="35" spans="3:12" ht="18">
      <c r="C35" s="160"/>
      <c r="D35" s="119" t="s">
        <v>73</v>
      </c>
      <c r="E35" s="152"/>
      <c r="F35" s="152"/>
      <c r="G35" s="152"/>
      <c r="H35" s="120"/>
      <c r="I35" s="120"/>
      <c r="J35" s="120"/>
      <c r="K35" s="120"/>
      <c r="L35" s="186"/>
    </row>
    <row r="36" spans="3:12">
      <c r="C36" s="155" t="s">
        <v>77</v>
      </c>
      <c r="D36" s="58"/>
      <c r="E36" s="58"/>
      <c r="F36" s="58"/>
      <c r="G36" s="58"/>
      <c r="H36" s="58"/>
      <c r="I36" s="58"/>
      <c r="J36" s="58"/>
      <c r="K36" s="58"/>
      <c r="L36" s="187"/>
    </row>
    <row r="37" spans="3:12">
      <c r="C37" s="158"/>
      <c r="D37" s="116" t="s">
        <v>66</v>
      </c>
      <c r="E37" s="122"/>
      <c r="F37" s="122"/>
      <c r="G37" s="122"/>
      <c r="H37" s="122"/>
      <c r="I37" s="122"/>
      <c r="J37" s="122"/>
      <c r="K37" s="122"/>
      <c r="L37" s="183"/>
    </row>
    <row r="38" spans="3:12" ht="18">
      <c r="C38" s="158"/>
      <c r="D38" s="117" t="s">
        <v>128</v>
      </c>
      <c r="E38" s="149"/>
      <c r="F38" s="149"/>
      <c r="G38" s="149"/>
      <c r="H38" s="149"/>
      <c r="I38" s="149"/>
      <c r="J38" s="149"/>
      <c r="K38" s="149"/>
      <c r="L38" s="184">
        <v>50</v>
      </c>
    </row>
    <row r="39" spans="3:12" ht="18">
      <c r="C39" s="158"/>
      <c r="D39" s="117" t="s">
        <v>70</v>
      </c>
      <c r="E39" s="149"/>
      <c r="F39" s="149"/>
      <c r="G39" s="149"/>
      <c r="H39" s="149"/>
      <c r="I39" s="149"/>
      <c r="J39" s="149"/>
      <c r="K39" s="149"/>
      <c r="L39" s="185" t="s">
        <v>71</v>
      </c>
    </row>
    <row r="40" spans="3:12" ht="18">
      <c r="C40" s="159"/>
      <c r="D40" s="117" t="s">
        <v>72</v>
      </c>
      <c r="E40" s="149"/>
      <c r="F40" s="149"/>
      <c r="G40" s="149"/>
      <c r="H40" s="149"/>
      <c r="I40" s="149"/>
      <c r="J40" s="149"/>
      <c r="K40" s="149"/>
      <c r="L40" s="185">
        <v>3000</v>
      </c>
    </row>
    <row r="41" spans="3:12" ht="18">
      <c r="C41" s="160"/>
      <c r="D41" s="119" t="s">
        <v>73</v>
      </c>
      <c r="E41" s="152"/>
      <c r="F41" s="152"/>
      <c r="G41" s="152"/>
      <c r="H41" s="152"/>
      <c r="I41" s="152"/>
      <c r="J41" s="152"/>
      <c r="K41" s="152"/>
      <c r="L41" s="186">
        <v>250</v>
      </c>
    </row>
    <row r="42" spans="3:12">
      <c r="C42" s="155" t="s">
        <v>79</v>
      </c>
      <c r="D42" s="58"/>
      <c r="E42" s="58"/>
      <c r="F42" s="58"/>
      <c r="G42" s="58"/>
      <c r="H42" s="58"/>
      <c r="I42" s="58"/>
      <c r="J42" s="58"/>
      <c r="K42" s="58"/>
      <c r="L42" s="187"/>
    </row>
    <row r="43" spans="3:12">
      <c r="C43" s="158"/>
      <c r="D43" s="116" t="s">
        <v>66</v>
      </c>
      <c r="E43" s="122"/>
      <c r="F43" s="122"/>
      <c r="G43" s="122"/>
      <c r="H43" s="122"/>
      <c r="I43" s="122"/>
      <c r="J43" s="122"/>
      <c r="K43" s="122"/>
      <c r="L43" s="183"/>
    </row>
    <row r="44" spans="3:12" ht="18">
      <c r="C44" s="158"/>
      <c r="D44" s="117" t="s">
        <v>128</v>
      </c>
      <c r="E44" s="149"/>
      <c r="F44" s="149"/>
      <c r="G44" s="149"/>
      <c r="H44" s="149"/>
      <c r="I44" s="149"/>
      <c r="J44" s="149"/>
      <c r="K44" s="149"/>
      <c r="L44" s="184"/>
    </row>
    <row r="45" spans="3:12" ht="18">
      <c r="C45" s="158"/>
      <c r="D45" s="117" t="s">
        <v>70</v>
      </c>
      <c r="E45" s="149"/>
      <c r="F45" s="149"/>
      <c r="G45" s="149"/>
      <c r="H45" s="149"/>
      <c r="I45" s="149"/>
      <c r="J45" s="149"/>
      <c r="K45" s="149"/>
      <c r="L45" s="185" t="s">
        <v>71</v>
      </c>
    </row>
    <row r="46" spans="3:12" ht="18">
      <c r="C46" s="159"/>
      <c r="D46" s="117" t="s">
        <v>72</v>
      </c>
      <c r="E46" s="149"/>
      <c r="F46" s="149"/>
      <c r="G46" s="149"/>
      <c r="H46" s="149"/>
      <c r="I46" s="149"/>
      <c r="J46" s="149"/>
      <c r="K46" s="149"/>
      <c r="L46" s="185">
        <v>3000</v>
      </c>
    </row>
    <row r="47" spans="3:12" ht="18">
      <c r="C47" s="160"/>
      <c r="D47" s="119" t="s">
        <v>73</v>
      </c>
      <c r="E47" s="152"/>
      <c r="F47" s="152"/>
      <c r="G47" s="152"/>
      <c r="H47" s="152"/>
      <c r="I47" s="152"/>
      <c r="J47" s="152"/>
      <c r="K47" s="152"/>
      <c r="L47" s="186">
        <v>250</v>
      </c>
    </row>
    <row r="48" spans="3:12">
      <c r="C48" s="155" t="s">
        <v>80</v>
      </c>
      <c r="D48" s="58"/>
      <c r="E48" s="58"/>
      <c r="F48" s="58"/>
      <c r="G48" s="58"/>
      <c r="H48" s="58"/>
      <c r="I48" s="58"/>
      <c r="J48" s="58"/>
      <c r="K48" s="58"/>
      <c r="L48" s="187"/>
    </row>
    <row r="49" spans="3:12" ht="18">
      <c r="C49" s="158"/>
      <c r="D49" s="116" t="s">
        <v>66</v>
      </c>
      <c r="E49" s="148"/>
      <c r="F49" s="148"/>
      <c r="G49" s="148"/>
      <c r="H49" s="148"/>
      <c r="I49" s="148"/>
      <c r="J49" s="148"/>
      <c r="K49" s="148"/>
      <c r="L49" s="183"/>
    </row>
    <row r="50" spans="3:12" ht="18">
      <c r="C50" s="158"/>
      <c r="D50" s="117" t="s">
        <v>128</v>
      </c>
      <c r="E50" s="149"/>
      <c r="F50" s="149"/>
      <c r="G50" s="149"/>
      <c r="H50" s="149"/>
      <c r="I50" s="149"/>
      <c r="J50" s="149"/>
      <c r="K50" s="149"/>
      <c r="L50" s="184"/>
    </row>
    <row r="51" spans="3:12" ht="18">
      <c r="C51" s="158"/>
      <c r="D51" s="117" t="s">
        <v>70</v>
      </c>
      <c r="E51" s="149"/>
      <c r="F51" s="149"/>
      <c r="G51" s="149"/>
      <c r="H51" s="149"/>
      <c r="I51" s="149"/>
      <c r="J51" s="149"/>
      <c r="K51" s="149"/>
      <c r="L51" s="185" t="s">
        <v>71</v>
      </c>
    </row>
    <row r="52" spans="3:12" ht="18">
      <c r="C52" s="159"/>
      <c r="D52" s="117" t="s">
        <v>72</v>
      </c>
      <c r="E52" s="149"/>
      <c r="F52" s="149"/>
      <c r="G52" s="149"/>
      <c r="H52" s="149"/>
      <c r="I52" s="149"/>
      <c r="J52" s="149"/>
      <c r="K52" s="149"/>
      <c r="L52" s="185">
        <v>3000</v>
      </c>
    </row>
    <row r="53" spans="3:12" ht="18">
      <c r="C53" s="160"/>
      <c r="D53" s="119" t="s">
        <v>73</v>
      </c>
      <c r="E53" s="152"/>
      <c r="F53" s="152"/>
      <c r="G53" s="152"/>
      <c r="H53" s="152"/>
      <c r="I53" s="152"/>
      <c r="J53" s="152"/>
      <c r="K53" s="152"/>
      <c r="L53" s="186">
        <v>250</v>
      </c>
    </row>
    <row r="54" spans="3:12">
      <c r="C54" s="155" t="s">
        <v>81</v>
      </c>
      <c r="D54" s="58"/>
      <c r="E54" s="58"/>
      <c r="F54" s="58"/>
      <c r="G54" s="58"/>
      <c r="H54" s="58"/>
      <c r="I54" s="58"/>
      <c r="J54" s="58"/>
      <c r="K54" s="58"/>
      <c r="L54" s="187"/>
    </row>
    <row r="55" spans="3:12" ht="18">
      <c r="C55" s="158"/>
      <c r="D55" s="116" t="s">
        <v>66</v>
      </c>
      <c r="E55" s="148"/>
      <c r="F55" s="148"/>
      <c r="G55" s="148"/>
      <c r="H55" s="148"/>
      <c r="I55" s="148"/>
      <c r="J55" s="148"/>
      <c r="K55" s="148"/>
      <c r="L55" s="183"/>
    </row>
    <row r="56" spans="3:12" ht="18">
      <c r="C56" s="158"/>
      <c r="D56" s="117" t="s">
        <v>128</v>
      </c>
      <c r="E56" s="149"/>
      <c r="F56" s="149"/>
      <c r="G56" s="149"/>
      <c r="H56" s="149"/>
      <c r="I56" s="149"/>
      <c r="J56" s="149"/>
      <c r="K56" s="149"/>
      <c r="L56" s="184"/>
    </row>
    <row r="57" spans="3:12" ht="18">
      <c r="C57" s="158"/>
      <c r="D57" s="117" t="s">
        <v>70</v>
      </c>
      <c r="E57" s="149"/>
      <c r="F57" s="149"/>
      <c r="G57" s="149"/>
      <c r="H57" s="149"/>
      <c r="I57" s="149"/>
      <c r="J57" s="149"/>
      <c r="K57" s="149"/>
      <c r="L57" s="185" t="s">
        <v>71</v>
      </c>
    </row>
    <row r="58" spans="3:12" ht="18">
      <c r="C58" s="159"/>
      <c r="D58" s="117" t="s">
        <v>72</v>
      </c>
      <c r="E58" s="149"/>
      <c r="F58" s="149"/>
      <c r="G58" s="149"/>
      <c r="H58" s="149"/>
      <c r="I58" s="149"/>
      <c r="J58" s="149"/>
      <c r="K58" s="149"/>
      <c r="L58" s="185">
        <v>3000</v>
      </c>
    </row>
    <row r="59" spans="3:12" ht="18">
      <c r="C59" s="160"/>
      <c r="D59" s="119" t="s">
        <v>73</v>
      </c>
      <c r="E59" s="152"/>
      <c r="F59" s="152"/>
      <c r="G59" s="152"/>
      <c r="H59" s="152"/>
      <c r="I59" s="152"/>
      <c r="J59" s="152"/>
      <c r="K59" s="152"/>
      <c r="L59" s="186">
        <v>250</v>
      </c>
    </row>
    <row r="60" spans="3:12">
      <c r="C60" s="155" t="s">
        <v>82</v>
      </c>
      <c r="D60" s="58"/>
      <c r="E60" s="58"/>
      <c r="F60" s="58"/>
      <c r="G60" s="58"/>
      <c r="H60" s="58"/>
      <c r="I60" s="58"/>
      <c r="J60" s="58"/>
      <c r="K60" s="58"/>
      <c r="L60" s="187"/>
    </row>
    <row r="61" spans="3:12">
      <c r="C61" s="158"/>
      <c r="D61" s="116" t="s">
        <v>66</v>
      </c>
      <c r="E61" s="122"/>
      <c r="F61" s="122"/>
      <c r="G61" s="122"/>
      <c r="H61" s="122"/>
      <c r="I61" s="122"/>
      <c r="J61" s="122"/>
      <c r="K61" s="122"/>
      <c r="L61" s="183"/>
    </row>
    <row r="62" spans="3:12" ht="18">
      <c r="C62" s="158"/>
      <c r="D62" s="117" t="s">
        <v>128</v>
      </c>
      <c r="E62" s="149"/>
      <c r="F62" s="149"/>
      <c r="G62" s="149"/>
      <c r="H62" s="149"/>
      <c r="I62" s="149"/>
      <c r="J62" s="149"/>
      <c r="K62" s="149"/>
      <c r="L62" s="184"/>
    </row>
    <row r="63" spans="3:12" ht="18">
      <c r="C63" s="158"/>
      <c r="D63" s="117" t="s">
        <v>70</v>
      </c>
      <c r="E63" s="149"/>
      <c r="F63" s="149"/>
      <c r="G63" s="149"/>
      <c r="H63" s="149"/>
      <c r="I63" s="149"/>
      <c r="J63" s="149"/>
      <c r="K63" s="149"/>
      <c r="L63" s="185" t="s">
        <v>71</v>
      </c>
    </row>
    <row r="64" spans="3:12" ht="18">
      <c r="C64" s="159"/>
      <c r="D64" s="117" t="s">
        <v>72</v>
      </c>
      <c r="E64" s="149"/>
      <c r="F64" s="149"/>
      <c r="G64" s="149"/>
      <c r="H64" s="149"/>
      <c r="I64" s="149"/>
      <c r="J64" s="149"/>
      <c r="K64" s="149"/>
      <c r="L64" s="185">
        <v>3000</v>
      </c>
    </row>
    <row r="65" spans="3:12" ht="18">
      <c r="C65" s="160"/>
      <c r="D65" s="119" t="s">
        <v>73</v>
      </c>
      <c r="E65" s="152"/>
      <c r="F65" s="152"/>
      <c r="G65" s="152"/>
      <c r="H65" s="152"/>
      <c r="I65" s="152"/>
      <c r="J65" s="152"/>
      <c r="K65" s="152"/>
      <c r="L65" s="186">
        <v>250</v>
      </c>
    </row>
    <row r="66" spans="3:12">
      <c r="C66" s="155" t="s">
        <v>83</v>
      </c>
      <c r="D66" s="58"/>
      <c r="E66" s="58"/>
      <c r="F66" s="58"/>
      <c r="G66" s="58"/>
      <c r="H66" s="58"/>
      <c r="I66" s="58"/>
      <c r="J66" s="58"/>
      <c r="K66" s="58"/>
      <c r="L66" s="187"/>
    </row>
    <row r="67" spans="3:12">
      <c r="C67" s="158"/>
      <c r="D67" s="116" t="s">
        <v>66</v>
      </c>
      <c r="E67" s="122"/>
      <c r="F67" s="122"/>
      <c r="G67" s="122"/>
      <c r="H67" s="122"/>
      <c r="I67" s="122"/>
      <c r="J67" s="122"/>
      <c r="K67" s="122"/>
      <c r="L67" s="183"/>
    </row>
    <row r="68" spans="3:12" ht="18">
      <c r="C68" s="158"/>
      <c r="D68" s="117" t="s">
        <v>128</v>
      </c>
      <c r="E68" s="149"/>
      <c r="F68" s="149"/>
      <c r="G68" s="149"/>
      <c r="H68" s="149"/>
      <c r="I68" s="149"/>
      <c r="J68" s="149"/>
      <c r="K68" s="149"/>
      <c r="L68" s="184"/>
    </row>
    <row r="69" spans="3:12" ht="18">
      <c r="C69" s="158"/>
      <c r="D69" s="117" t="s">
        <v>70</v>
      </c>
      <c r="E69" s="149"/>
      <c r="F69" s="149"/>
      <c r="G69" s="149"/>
      <c r="H69" s="149"/>
      <c r="I69" s="149"/>
      <c r="J69" s="149"/>
      <c r="K69" s="149"/>
      <c r="L69" s="185" t="s">
        <v>71</v>
      </c>
    </row>
    <row r="70" spans="3:12" ht="18">
      <c r="C70" s="159"/>
      <c r="D70" s="117" t="s">
        <v>72</v>
      </c>
      <c r="E70" s="149"/>
      <c r="F70" s="149"/>
      <c r="G70" s="149"/>
      <c r="H70" s="149"/>
      <c r="I70" s="149"/>
      <c r="J70" s="149"/>
      <c r="K70" s="149"/>
      <c r="L70" s="185">
        <v>3000</v>
      </c>
    </row>
    <row r="71" spans="3:12" ht="18">
      <c r="C71" s="160"/>
      <c r="D71" s="119" t="s">
        <v>73</v>
      </c>
      <c r="E71" s="152"/>
      <c r="F71" s="152"/>
      <c r="G71" s="152"/>
      <c r="H71" s="152"/>
      <c r="I71" s="152"/>
      <c r="J71" s="152"/>
      <c r="K71" s="152"/>
      <c r="L71" s="186">
        <v>250</v>
      </c>
    </row>
    <row r="72" spans="3:12">
      <c r="C72" s="155" t="s">
        <v>84</v>
      </c>
      <c r="D72" s="58"/>
      <c r="E72" s="58"/>
      <c r="F72" s="58"/>
      <c r="G72" s="58"/>
      <c r="H72" s="58"/>
      <c r="I72" s="58"/>
      <c r="J72" s="58"/>
      <c r="K72" s="58"/>
      <c r="L72" s="187"/>
    </row>
    <row r="73" spans="3:12">
      <c r="C73" s="158"/>
      <c r="D73" s="116" t="s">
        <v>66</v>
      </c>
      <c r="E73" s="122"/>
      <c r="F73" s="122"/>
      <c r="G73" s="122"/>
      <c r="H73" s="122"/>
      <c r="I73" s="122"/>
      <c r="J73" s="122"/>
      <c r="K73" s="122"/>
      <c r="L73" s="183"/>
    </row>
    <row r="74" spans="3:12" ht="18">
      <c r="C74" s="158"/>
      <c r="D74" s="117" t="s">
        <v>128</v>
      </c>
      <c r="E74" s="149"/>
      <c r="F74" s="149"/>
      <c r="G74" s="149"/>
      <c r="H74" s="149"/>
      <c r="I74" s="149"/>
      <c r="J74" s="149"/>
      <c r="K74" s="149"/>
      <c r="L74" s="184"/>
    </row>
    <row r="75" spans="3:12" ht="18">
      <c r="C75" s="158"/>
      <c r="D75" s="117" t="s">
        <v>70</v>
      </c>
      <c r="E75" s="149"/>
      <c r="F75" s="149"/>
      <c r="G75" s="149"/>
      <c r="H75" s="149"/>
      <c r="I75" s="149"/>
      <c r="J75" s="149"/>
      <c r="K75" s="149"/>
      <c r="L75" s="185" t="s">
        <v>71</v>
      </c>
    </row>
    <row r="76" spans="3:12" ht="18">
      <c r="C76" s="159"/>
      <c r="D76" s="117" t="s">
        <v>72</v>
      </c>
      <c r="E76" s="149"/>
      <c r="F76" s="149"/>
      <c r="G76" s="149"/>
      <c r="H76" s="149"/>
      <c r="I76" s="149"/>
      <c r="J76" s="149"/>
      <c r="K76" s="149"/>
      <c r="L76" s="185">
        <v>3000</v>
      </c>
    </row>
    <row r="77" spans="3:12" ht="18">
      <c r="C77" s="160"/>
      <c r="D77" s="119" t="s">
        <v>73</v>
      </c>
      <c r="E77" s="152"/>
      <c r="F77" s="152"/>
      <c r="G77" s="152"/>
      <c r="H77" s="152"/>
      <c r="I77" s="152"/>
      <c r="J77" s="152"/>
      <c r="K77" s="152"/>
      <c r="L77" s="186">
        <v>250</v>
      </c>
    </row>
    <row r="78" spans="3:12">
      <c r="C78" s="155" t="s">
        <v>85</v>
      </c>
      <c r="D78" s="58"/>
      <c r="E78" s="58"/>
      <c r="F78" s="58"/>
      <c r="G78" s="58"/>
      <c r="H78" s="58"/>
      <c r="I78" s="58"/>
      <c r="J78" s="58"/>
      <c r="K78" s="58"/>
      <c r="L78" s="187"/>
    </row>
    <row r="79" spans="3:12" ht="18">
      <c r="C79" s="158"/>
      <c r="D79" s="116" t="s">
        <v>66</v>
      </c>
      <c r="E79" s="148"/>
      <c r="F79" s="148"/>
      <c r="G79" s="148"/>
      <c r="H79" s="148"/>
      <c r="I79" s="148"/>
      <c r="J79" s="148"/>
      <c r="K79" s="148"/>
      <c r="L79" s="183"/>
    </row>
    <row r="80" spans="3:12" ht="18">
      <c r="C80" s="158"/>
      <c r="D80" s="117" t="s">
        <v>128</v>
      </c>
      <c r="E80" s="149"/>
      <c r="F80" s="149"/>
      <c r="G80" s="149"/>
      <c r="H80" s="149"/>
      <c r="I80" s="149"/>
      <c r="J80" s="149"/>
      <c r="K80" s="149"/>
      <c r="L80" s="184"/>
    </row>
    <row r="81" spans="3:39" ht="18">
      <c r="C81" s="158"/>
      <c r="D81" s="117" t="s">
        <v>70</v>
      </c>
      <c r="E81" s="149"/>
      <c r="F81" s="149"/>
      <c r="G81" s="149"/>
      <c r="H81" s="149"/>
      <c r="I81" s="149"/>
      <c r="J81" s="149"/>
      <c r="K81" s="149"/>
      <c r="L81" s="185" t="s">
        <v>71</v>
      </c>
    </row>
    <row r="82" spans="3:39" ht="18">
      <c r="C82" s="159"/>
      <c r="D82" s="117" t="s">
        <v>72</v>
      </c>
      <c r="E82" s="149"/>
      <c r="F82" s="149"/>
      <c r="G82" s="149"/>
      <c r="H82" s="149"/>
      <c r="I82" s="149"/>
      <c r="J82" s="149"/>
      <c r="K82" s="149"/>
      <c r="L82" s="185">
        <v>3000</v>
      </c>
    </row>
    <row r="83" spans="3:39" ht="18">
      <c r="C83" s="160"/>
      <c r="D83" s="119" t="s">
        <v>73</v>
      </c>
      <c r="E83" s="152"/>
      <c r="F83" s="152"/>
      <c r="G83" s="152"/>
      <c r="H83" s="152"/>
      <c r="I83" s="152"/>
      <c r="J83" s="152"/>
      <c r="K83" s="152"/>
      <c r="L83" s="186">
        <v>250</v>
      </c>
    </row>
    <row r="84" spans="3:39">
      <c r="C84" s="155" t="s">
        <v>86</v>
      </c>
      <c r="D84" s="58"/>
      <c r="E84" s="58"/>
      <c r="F84" s="58"/>
      <c r="G84" s="58"/>
      <c r="H84" s="58"/>
      <c r="I84" s="58"/>
      <c r="J84" s="58"/>
      <c r="K84" s="58"/>
      <c r="L84" s="187"/>
    </row>
    <row r="85" spans="3:39" ht="18">
      <c r="C85" s="158"/>
      <c r="D85" s="116" t="s">
        <v>66</v>
      </c>
      <c r="E85" s="148"/>
      <c r="F85" s="148"/>
      <c r="G85" s="148"/>
      <c r="H85" s="148"/>
      <c r="I85" s="148"/>
      <c r="J85" s="148"/>
      <c r="K85" s="148"/>
      <c r="L85" s="183"/>
    </row>
    <row r="86" spans="3:39" ht="18">
      <c r="C86" s="158"/>
      <c r="D86" s="117" t="s">
        <v>128</v>
      </c>
      <c r="E86" s="149"/>
      <c r="F86" s="149"/>
      <c r="G86" s="149"/>
      <c r="H86" s="149"/>
      <c r="I86" s="149"/>
      <c r="J86" s="149"/>
      <c r="K86" s="149"/>
      <c r="L86" s="184"/>
    </row>
    <row r="87" spans="3:39" ht="18">
      <c r="C87" s="158"/>
      <c r="D87" s="117" t="s">
        <v>70</v>
      </c>
      <c r="E87" s="149"/>
      <c r="F87" s="149"/>
      <c r="G87" s="149"/>
      <c r="H87" s="149"/>
      <c r="I87" s="149"/>
      <c r="J87" s="149"/>
      <c r="K87" s="149"/>
      <c r="L87" s="185" t="s">
        <v>71</v>
      </c>
    </row>
    <row r="88" spans="3:39" ht="18">
      <c r="C88" s="159"/>
      <c r="D88" s="117" t="s">
        <v>72</v>
      </c>
      <c r="E88" s="149"/>
      <c r="F88" s="149"/>
      <c r="G88" s="149"/>
      <c r="H88" s="149"/>
      <c r="I88" s="149"/>
      <c r="J88" s="149"/>
      <c r="K88" s="149"/>
      <c r="L88" s="185">
        <v>3000</v>
      </c>
    </row>
    <row r="89" spans="3:39" ht="18.5" thickBot="1">
      <c r="C89" s="161"/>
      <c r="D89" s="150" t="s">
        <v>73</v>
      </c>
      <c r="E89" s="151"/>
      <c r="F89" s="151"/>
      <c r="G89" s="151"/>
      <c r="H89" s="151"/>
      <c r="I89" s="151"/>
      <c r="J89" s="151"/>
      <c r="K89" s="151"/>
      <c r="L89" s="186">
        <v>250</v>
      </c>
    </row>
    <row r="91" spans="3:39">
      <c r="M91" s="136"/>
      <c r="N91" s="136"/>
      <c r="O91" s="136"/>
      <c r="P91" s="136"/>
      <c r="Q91" s="136"/>
      <c r="R91" s="136"/>
      <c r="S91" s="136"/>
      <c r="T91" s="136"/>
      <c r="U91" s="136"/>
      <c r="V91" s="136"/>
      <c r="W91" s="136"/>
      <c r="X91" s="136"/>
      <c r="Y91" s="136"/>
      <c r="Z91" s="136"/>
      <c r="AA91" s="136"/>
    </row>
    <row r="92" spans="3:39">
      <c r="M92" s="136"/>
      <c r="N92" s="136"/>
      <c r="O92" s="136"/>
      <c r="P92" s="136"/>
      <c r="Q92" s="136"/>
      <c r="R92" s="136"/>
      <c r="S92" s="136"/>
      <c r="T92" s="136"/>
      <c r="U92" s="136"/>
      <c r="V92" s="136"/>
      <c r="W92" s="136"/>
      <c r="X92" s="136"/>
      <c r="Y92" s="136"/>
      <c r="Z92" s="136"/>
      <c r="AA92" s="136"/>
    </row>
    <row r="93" spans="3:39">
      <c r="C93" s="162" t="s">
        <v>129</v>
      </c>
      <c r="D93" s="162"/>
      <c r="E93" s="162"/>
      <c r="F93" s="162"/>
      <c r="G93" s="162"/>
      <c r="H93" s="162"/>
      <c r="I93" s="162"/>
      <c r="J93" s="162"/>
      <c r="K93" s="162"/>
      <c r="L93" s="200"/>
      <c r="M93" s="163"/>
      <c r="N93" s="163"/>
      <c r="O93" s="163"/>
      <c r="P93" s="163"/>
      <c r="Q93" s="163"/>
      <c r="R93" s="163"/>
      <c r="S93" s="163"/>
      <c r="T93" s="163"/>
      <c r="U93" s="163"/>
      <c r="V93" s="163"/>
      <c r="W93" s="163"/>
      <c r="X93" s="163"/>
      <c r="Y93" s="163"/>
      <c r="Z93" s="163"/>
      <c r="AA93" s="163"/>
      <c r="AB93" s="162"/>
      <c r="AC93" s="162"/>
      <c r="AD93" s="162"/>
      <c r="AE93" s="162"/>
      <c r="AF93" s="162"/>
      <c r="AG93" s="162"/>
      <c r="AH93" s="162"/>
      <c r="AI93" s="162"/>
      <c r="AJ93" s="162"/>
      <c r="AK93" s="162"/>
      <c r="AL93" s="162"/>
      <c r="AM93" s="162"/>
    </row>
    <row r="94" spans="3:39">
      <c r="C94" s="136" t="s">
        <v>130</v>
      </c>
      <c r="D94" s="136" t="s">
        <v>130</v>
      </c>
      <c r="E94" s="136" t="s">
        <v>130</v>
      </c>
      <c r="F94" s="136" t="s">
        <v>130</v>
      </c>
      <c r="G94" s="136"/>
      <c r="H94" s="136" t="s">
        <v>130</v>
      </c>
      <c r="I94" s="136"/>
      <c r="J94" s="136" t="s">
        <v>130</v>
      </c>
      <c r="K94" s="136"/>
      <c r="L94" s="136" t="s">
        <v>130</v>
      </c>
      <c r="M94" s="136" t="s">
        <v>130</v>
      </c>
      <c r="N94" s="136" t="s">
        <v>130</v>
      </c>
      <c r="O94" s="136" t="s">
        <v>130</v>
      </c>
      <c r="P94" s="136" t="s">
        <v>130</v>
      </c>
      <c r="Q94" s="136" t="s">
        <v>130</v>
      </c>
      <c r="R94" s="136" t="s">
        <v>130</v>
      </c>
      <c r="S94" s="136" t="s">
        <v>130</v>
      </c>
      <c r="T94" s="136" t="s">
        <v>130</v>
      </c>
      <c r="U94" s="136" t="s">
        <v>130</v>
      </c>
      <c r="V94" s="136" t="s">
        <v>130</v>
      </c>
      <c r="W94" s="136" t="s">
        <v>130</v>
      </c>
      <c r="X94" s="136" t="s">
        <v>130</v>
      </c>
      <c r="Y94" s="136" t="s">
        <v>130</v>
      </c>
      <c r="Z94" s="136" t="s">
        <v>130</v>
      </c>
      <c r="AA94" s="136" t="s">
        <v>130</v>
      </c>
      <c r="AB94" s="136" t="s">
        <v>130</v>
      </c>
      <c r="AC94" s="136" t="s">
        <v>130</v>
      </c>
      <c r="AD94" s="136" t="s">
        <v>130</v>
      </c>
      <c r="AE94" s="136" t="s">
        <v>130</v>
      </c>
      <c r="AF94" s="136" t="s">
        <v>130</v>
      </c>
      <c r="AG94" s="136" t="s">
        <v>130</v>
      </c>
      <c r="AH94" s="136" t="s">
        <v>130</v>
      </c>
      <c r="AI94" s="136" t="s">
        <v>130</v>
      </c>
      <c r="AJ94" s="136" t="s">
        <v>130</v>
      </c>
      <c r="AK94" s="136" t="s">
        <v>130</v>
      </c>
      <c r="AL94" s="136" t="s">
        <v>130</v>
      </c>
      <c r="AM94" s="136" t="s">
        <v>130</v>
      </c>
    </row>
    <row r="95" spans="3:39">
      <c r="C95" s="136" t="s">
        <v>130</v>
      </c>
      <c r="D95" s="136" t="s">
        <v>130</v>
      </c>
      <c r="E95" s="136" t="s">
        <v>130</v>
      </c>
      <c r="F95" s="136" t="s">
        <v>130</v>
      </c>
      <c r="G95" s="136"/>
      <c r="H95" s="136" t="s">
        <v>130</v>
      </c>
      <c r="I95" s="136"/>
      <c r="J95" s="136" t="s">
        <v>130</v>
      </c>
      <c r="K95" s="136"/>
      <c r="L95" s="136" t="s">
        <v>130</v>
      </c>
      <c r="M95" s="136" t="s">
        <v>130</v>
      </c>
      <c r="N95" s="136" t="s">
        <v>130</v>
      </c>
      <c r="O95" s="136" t="s">
        <v>130</v>
      </c>
      <c r="P95" s="136" t="s">
        <v>130</v>
      </c>
      <c r="Q95" s="136" t="s">
        <v>130</v>
      </c>
      <c r="R95" s="136" t="s">
        <v>130</v>
      </c>
      <c r="S95" s="136" t="s">
        <v>130</v>
      </c>
      <c r="T95" s="136" t="s">
        <v>130</v>
      </c>
      <c r="U95" s="136" t="s">
        <v>130</v>
      </c>
      <c r="V95" s="136" t="s">
        <v>130</v>
      </c>
      <c r="W95" s="136" t="s">
        <v>130</v>
      </c>
      <c r="X95" s="136" t="s">
        <v>130</v>
      </c>
      <c r="Y95" s="136" t="s">
        <v>130</v>
      </c>
      <c r="Z95" s="136" t="s">
        <v>130</v>
      </c>
      <c r="AA95" s="136" t="s">
        <v>130</v>
      </c>
      <c r="AB95" s="136" t="s">
        <v>130</v>
      </c>
      <c r="AC95" s="136" t="s">
        <v>130</v>
      </c>
      <c r="AD95" s="136" t="s">
        <v>130</v>
      </c>
      <c r="AE95" s="136" t="s">
        <v>130</v>
      </c>
      <c r="AF95" s="136" t="s">
        <v>130</v>
      </c>
      <c r="AG95" s="136" t="s">
        <v>130</v>
      </c>
      <c r="AH95" s="136" t="s">
        <v>130</v>
      </c>
      <c r="AI95" s="136" t="s">
        <v>130</v>
      </c>
      <c r="AJ95" s="136" t="s">
        <v>130</v>
      </c>
      <c r="AK95" s="136" t="s">
        <v>130</v>
      </c>
      <c r="AL95" s="136" t="s">
        <v>130</v>
      </c>
      <c r="AM95" s="136" t="s">
        <v>130</v>
      </c>
    </row>
    <row r="96" spans="3:39">
      <c r="M96" s="136"/>
      <c r="N96" s="136"/>
      <c r="O96" s="136"/>
      <c r="P96" s="136"/>
      <c r="Q96" s="136"/>
      <c r="R96" s="136"/>
      <c r="S96" s="136"/>
      <c r="T96" s="136"/>
      <c r="U96" s="136"/>
      <c r="V96" s="136"/>
      <c r="W96" s="136"/>
      <c r="X96" s="136"/>
      <c r="Y96" s="136"/>
      <c r="Z96" s="136"/>
      <c r="AA96" s="136"/>
    </row>
    <row r="97" spans="3:27">
      <c r="C97" s="147"/>
      <c r="D97" s="147"/>
      <c r="E97" s="147"/>
      <c r="F97" s="147"/>
      <c r="G97" s="147"/>
      <c r="H97" s="147"/>
      <c r="I97" s="147"/>
      <c r="J97" s="147"/>
      <c r="K97" s="147"/>
      <c r="L97" s="201"/>
      <c r="M97" s="136"/>
      <c r="N97" s="136"/>
      <c r="O97" s="136"/>
      <c r="P97" s="136"/>
      <c r="Q97" s="136"/>
      <c r="R97" s="136"/>
      <c r="S97" s="136"/>
      <c r="T97" s="136"/>
      <c r="U97" s="136"/>
      <c r="V97" s="136"/>
      <c r="W97" s="136"/>
      <c r="X97" s="136"/>
      <c r="Y97" s="136"/>
      <c r="Z97" s="136"/>
      <c r="AA97" s="136"/>
    </row>
    <row r="98" spans="3:27">
      <c r="C98" s="65" t="s">
        <v>3</v>
      </c>
      <c r="D98" s="58"/>
      <c r="E98" s="58"/>
      <c r="F98" s="58"/>
      <c r="G98" s="58"/>
      <c r="H98" s="58"/>
      <c r="I98" s="58"/>
      <c r="J98" s="58"/>
      <c r="K98" s="58"/>
      <c r="L98" s="231" t="s">
        <v>114</v>
      </c>
      <c r="M98" s="136"/>
      <c r="N98" s="136"/>
      <c r="O98" s="136"/>
      <c r="P98" s="136"/>
      <c r="Q98" s="136"/>
      <c r="R98" s="136"/>
      <c r="S98" s="136"/>
      <c r="T98" s="136"/>
      <c r="U98" s="136"/>
      <c r="V98" s="136"/>
      <c r="W98" s="136"/>
      <c r="X98" s="136"/>
      <c r="Y98" s="136"/>
      <c r="Z98" s="136"/>
      <c r="AA98" s="136"/>
    </row>
    <row r="99" spans="3:27">
      <c r="C99" s="67" t="s">
        <v>823</v>
      </c>
      <c r="D99" s="58"/>
      <c r="E99" s="114"/>
      <c r="F99" s="114"/>
      <c r="G99" s="114"/>
      <c r="H99" s="114"/>
      <c r="I99" s="114"/>
      <c r="J99" s="114"/>
      <c r="K99" s="114"/>
      <c r="L99" s="175"/>
      <c r="M99" s="136"/>
      <c r="N99" s="136"/>
      <c r="O99" s="136"/>
      <c r="P99" s="136"/>
      <c r="Q99" s="136"/>
      <c r="R99" s="136"/>
      <c r="S99" s="136"/>
      <c r="T99" s="136"/>
      <c r="U99" s="136"/>
      <c r="V99" s="136"/>
      <c r="W99" s="136"/>
      <c r="X99" s="136"/>
      <c r="Y99" s="136"/>
      <c r="Z99" s="136"/>
      <c r="AA99" s="136"/>
    </row>
    <row r="100" spans="3:27">
      <c r="C100" s="72"/>
      <c r="D100" s="67" t="s">
        <v>697</v>
      </c>
      <c r="E100" s="114"/>
      <c r="F100" s="114"/>
      <c r="G100" s="114"/>
      <c r="H100" s="114"/>
      <c r="I100" s="114"/>
      <c r="J100" s="114"/>
      <c r="K100" s="114"/>
      <c r="L100" s="175"/>
      <c r="M100" s="136"/>
      <c r="N100" s="136"/>
      <c r="O100" s="136"/>
      <c r="P100" s="136"/>
      <c r="Q100" s="136"/>
      <c r="R100" s="136"/>
      <c r="S100" s="136"/>
      <c r="T100" s="136"/>
      <c r="U100" s="136"/>
      <c r="V100" s="136"/>
      <c r="W100" s="136"/>
      <c r="X100" s="136"/>
      <c r="Y100" s="136"/>
      <c r="Z100" s="136"/>
      <c r="AA100" s="136"/>
    </row>
    <row r="101" spans="3:27">
      <c r="C101" s="72"/>
      <c r="D101" s="72"/>
      <c r="E101" s="67" t="s">
        <v>639</v>
      </c>
      <c r="F101" s="114"/>
      <c r="G101" s="114"/>
      <c r="H101" s="114"/>
      <c r="I101" s="114"/>
      <c r="J101" s="114"/>
      <c r="K101" s="164"/>
      <c r="L101" s="207" t="str" cm="1">
        <f t="array" aca="1" ref="L101" ca="1">IF(L15="","※CPUを入力してください。"&amp;"(セル：L"&amp;CELL("row",L15)&amp;")",L15)</f>
        <v>※CPUを入力してください。(セル：L15)</v>
      </c>
      <c r="M101" s="136"/>
      <c r="N101" s="136"/>
      <c r="O101" s="136"/>
      <c r="P101" s="136"/>
      <c r="Q101" s="136"/>
      <c r="R101" s="136"/>
      <c r="S101" s="136"/>
      <c r="T101" s="136"/>
      <c r="U101" s="136"/>
      <c r="V101" s="136"/>
      <c r="W101" s="136"/>
      <c r="X101" s="136"/>
      <c r="Y101" s="136"/>
      <c r="Z101" s="136"/>
      <c r="AA101" s="136"/>
    </row>
    <row r="102" spans="3:27">
      <c r="C102" s="72"/>
      <c r="D102" s="73"/>
      <c r="E102" s="65" t="s">
        <v>640</v>
      </c>
      <c r="F102" s="58"/>
      <c r="G102" s="58"/>
      <c r="H102" s="58"/>
      <c r="I102" s="58"/>
      <c r="J102" s="58"/>
      <c r="K102" s="60"/>
      <c r="L102" s="208" t="str" cm="1">
        <f t="array" aca="1" ref="L102" ca="1">IF(L16="","※メモリーを入力してください。"&amp;"(セル：L"&amp;CELL("row",L16)&amp;")",L16)</f>
        <v>※メモリーを入力してください。(セル：L16)</v>
      </c>
      <c r="M102" s="136"/>
      <c r="N102" s="136"/>
      <c r="O102" s="136"/>
      <c r="P102" s="136"/>
      <c r="Q102" s="136"/>
      <c r="R102" s="136"/>
      <c r="S102" s="136"/>
      <c r="T102" s="136"/>
      <c r="U102" s="136"/>
      <c r="V102" s="136"/>
      <c r="W102" s="136"/>
      <c r="X102" s="136"/>
      <c r="Y102" s="136"/>
      <c r="Z102" s="136"/>
      <c r="AA102" s="136"/>
    </row>
    <row r="103" spans="3:27">
      <c r="C103" s="68"/>
      <c r="D103" s="67" t="s">
        <v>824</v>
      </c>
      <c r="E103" s="58"/>
      <c r="F103" s="58"/>
      <c r="G103" s="58"/>
      <c r="H103" s="58"/>
      <c r="I103" s="58"/>
      <c r="J103" s="58"/>
      <c r="K103" s="58"/>
      <c r="L103" s="206"/>
      <c r="M103" s="136"/>
      <c r="N103" s="136"/>
      <c r="O103" s="136"/>
      <c r="P103" s="136"/>
      <c r="Q103" s="136"/>
      <c r="R103" s="136"/>
      <c r="S103" s="136"/>
      <c r="T103" s="136"/>
      <c r="U103" s="136"/>
      <c r="V103" s="136"/>
      <c r="W103" s="136"/>
      <c r="X103" s="136"/>
      <c r="Y103" s="136"/>
      <c r="Z103" s="136"/>
      <c r="AA103" s="136"/>
    </row>
    <row r="104" spans="3:27">
      <c r="C104" s="68"/>
      <c r="D104" s="72"/>
      <c r="E104" s="65" t="s">
        <v>45</v>
      </c>
      <c r="F104" s="58"/>
      <c r="G104" s="58"/>
      <c r="H104" s="58"/>
      <c r="I104" s="58"/>
      <c r="J104" s="58"/>
      <c r="K104" s="60"/>
      <c r="L104" s="208"/>
      <c r="M104" s="136"/>
      <c r="N104" s="136"/>
      <c r="O104" s="136"/>
      <c r="P104" s="136"/>
      <c r="Q104" s="136"/>
      <c r="R104" s="136"/>
      <c r="S104" s="136"/>
      <c r="T104" s="136"/>
      <c r="U104" s="136"/>
      <c r="V104" s="136"/>
      <c r="W104" s="136"/>
      <c r="X104" s="136"/>
      <c r="Y104" s="136"/>
      <c r="Z104" s="136"/>
      <c r="AA104" s="136"/>
    </row>
    <row r="105" spans="3:27">
      <c r="C105" s="68"/>
      <c r="D105" s="73"/>
      <c r="E105" s="65" t="s">
        <v>46</v>
      </c>
      <c r="F105" s="58"/>
      <c r="G105" s="58"/>
      <c r="H105" s="58"/>
      <c r="I105" s="58"/>
      <c r="J105" s="58"/>
      <c r="K105" s="60"/>
      <c r="L105" s="208"/>
      <c r="M105" s="136"/>
      <c r="N105" s="136"/>
      <c r="O105" s="136"/>
      <c r="P105" s="136"/>
      <c r="Q105" s="136"/>
      <c r="R105" s="136"/>
      <c r="S105" s="136"/>
      <c r="T105" s="136"/>
      <c r="U105" s="136"/>
      <c r="V105" s="136"/>
      <c r="W105" s="136"/>
      <c r="X105" s="136"/>
      <c r="Y105" s="136"/>
      <c r="Z105" s="136"/>
      <c r="AA105" s="136"/>
    </row>
    <row r="106" spans="3:27">
      <c r="C106" s="67" t="s">
        <v>669</v>
      </c>
      <c r="D106" s="58"/>
      <c r="E106" s="58"/>
      <c r="F106" s="58"/>
      <c r="G106" s="58"/>
      <c r="H106" s="58"/>
      <c r="I106" s="58"/>
      <c r="J106" s="58"/>
      <c r="K106" s="58"/>
      <c r="L106" s="240"/>
      <c r="M106" s="136"/>
      <c r="N106" s="136"/>
      <c r="O106" s="136"/>
      <c r="P106" s="136"/>
      <c r="Q106" s="136"/>
      <c r="R106" s="136"/>
      <c r="S106" s="136"/>
      <c r="T106" s="136"/>
      <c r="U106" s="136"/>
      <c r="V106" s="136"/>
      <c r="W106" s="136"/>
      <c r="X106" s="136"/>
      <c r="Y106" s="136"/>
      <c r="Z106" s="136"/>
      <c r="AA106" s="136"/>
    </row>
    <row r="107" spans="3:27">
      <c r="C107" s="72"/>
      <c r="D107" s="65" t="s">
        <v>11</v>
      </c>
      <c r="E107" s="58"/>
      <c r="F107" s="58"/>
      <c r="G107" s="58"/>
      <c r="H107" s="58"/>
      <c r="I107" s="58"/>
      <c r="J107" s="58"/>
      <c r="K107" s="58"/>
      <c r="L107" s="202"/>
      <c r="M107" s="136"/>
      <c r="N107" s="136"/>
      <c r="O107" s="136"/>
      <c r="P107" s="136"/>
      <c r="Q107" s="136"/>
      <c r="R107" s="136"/>
      <c r="S107" s="136"/>
      <c r="T107" s="136"/>
      <c r="U107" s="136"/>
      <c r="V107" s="136"/>
      <c r="W107" s="136"/>
      <c r="X107" s="136"/>
      <c r="Y107" s="136"/>
      <c r="Z107" s="136"/>
      <c r="AA107" s="136"/>
    </row>
    <row r="108" spans="3:27">
      <c r="C108" s="72"/>
      <c r="D108" s="65" t="s">
        <v>12</v>
      </c>
      <c r="E108" s="58"/>
      <c r="F108" s="58"/>
      <c r="G108" s="58"/>
      <c r="H108" s="58"/>
      <c r="I108" s="58"/>
      <c r="J108" s="58"/>
      <c r="K108" s="58"/>
      <c r="L108" s="279"/>
      <c r="M108" s="136"/>
      <c r="N108" s="136"/>
      <c r="O108" s="136"/>
      <c r="P108" s="136"/>
      <c r="Q108" s="136"/>
      <c r="R108" s="136"/>
      <c r="S108" s="136"/>
      <c r="T108" s="136"/>
      <c r="U108" s="136"/>
      <c r="V108" s="136"/>
      <c r="W108" s="136"/>
      <c r="X108" s="136"/>
      <c r="Y108" s="136"/>
      <c r="Z108" s="136"/>
      <c r="AA108" s="136"/>
    </row>
    <row r="109" spans="3:27">
      <c r="C109" s="72"/>
      <c r="D109" s="65" t="s">
        <v>13</v>
      </c>
      <c r="E109" s="58"/>
      <c r="F109" s="58"/>
      <c r="G109" s="58"/>
      <c r="H109" s="58"/>
      <c r="I109" s="58"/>
      <c r="J109" s="58"/>
      <c r="K109" s="58"/>
      <c r="L109" s="203"/>
      <c r="M109" s="136"/>
      <c r="N109" s="136"/>
      <c r="O109" s="136"/>
      <c r="P109" s="136"/>
      <c r="Q109" s="136"/>
      <c r="R109" s="136"/>
      <c r="S109" s="136"/>
      <c r="T109" s="136"/>
      <c r="U109" s="136"/>
      <c r="V109" s="136"/>
      <c r="W109" s="136"/>
      <c r="X109" s="136"/>
      <c r="Y109" s="136"/>
      <c r="Z109" s="136"/>
      <c r="AA109" s="136"/>
    </row>
    <row r="110" spans="3:27">
      <c r="C110" s="72"/>
      <c r="D110" s="65" t="s">
        <v>14</v>
      </c>
      <c r="E110" s="114"/>
      <c r="F110" s="114"/>
      <c r="G110" s="114"/>
      <c r="H110" s="114"/>
      <c r="I110" s="114"/>
      <c r="J110" s="114"/>
      <c r="K110" s="164"/>
      <c r="L110" s="203"/>
      <c r="M110" s="136"/>
      <c r="N110" s="136"/>
      <c r="O110" s="136"/>
      <c r="P110" s="136"/>
      <c r="Q110" s="136"/>
      <c r="R110" s="136"/>
      <c r="S110" s="136"/>
      <c r="T110" s="136"/>
      <c r="U110" s="136"/>
      <c r="V110" s="136"/>
      <c r="W110" s="136"/>
      <c r="X110" s="136"/>
      <c r="Y110" s="136"/>
      <c r="Z110" s="136"/>
      <c r="AA110" s="136"/>
    </row>
    <row r="111" spans="3:27">
      <c r="C111" s="72"/>
      <c r="D111" s="65" t="s">
        <v>15</v>
      </c>
      <c r="E111" s="114"/>
      <c r="F111" s="114"/>
      <c r="G111" s="114"/>
      <c r="H111" s="114"/>
      <c r="I111" s="114"/>
      <c r="J111" s="114"/>
      <c r="K111" s="164"/>
      <c r="L111" s="203"/>
      <c r="M111" s="136"/>
      <c r="N111" s="136"/>
      <c r="O111" s="136"/>
      <c r="P111" s="136"/>
      <c r="Q111" s="136"/>
      <c r="R111" s="136"/>
      <c r="S111" s="136"/>
      <c r="T111" s="136"/>
      <c r="U111" s="136"/>
      <c r="V111" s="136"/>
      <c r="W111" s="136"/>
      <c r="X111" s="136"/>
      <c r="Y111" s="136"/>
      <c r="Z111" s="136"/>
      <c r="AA111" s="136"/>
    </row>
    <row r="112" spans="3:27">
      <c r="C112" s="72"/>
      <c r="D112" s="65" t="s">
        <v>16</v>
      </c>
      <c r="E112" s="114"/>
      <c r="F112" s="114"/>
      <c r="G112" s="114"/>
      <c r="H112" s="114"/>
      <c r="I112" s="114"/>
      <c r="J112" s="114"/>
      <c r="K112" s="164"/>
      <c r="L112" s="202"/>
      <c r="M112" s="136"/>
      <c r="N112" s="136"/>
      <c r="O112" s="136"/>
      <c r="P112" s="136"/>
      <c r="Q112" s="136"/>
      <c r="R112" s="136"/>
      <c r="S112" s="136"/>
      <c r="T112" s="136"/>
      <c r="U112" s="136"/>
      <c r="V112" s="136"/>
      <c r="W112" s="136"/>
      <c r="X112" s="136"/>
      <c r="Y112" s="136"/>
      <c r="Z112" s="136"/>
      <c r="AA112" s="136"/>
    </row>
    <row r="113" spans="3:27">
      <c r="C113" s="72"/>
      <c r="D113" s="65" t="s">
        <v>18</v>
      </c>
      <c r="E113" s="114"/>
      <c r="F113" s="114"/>
      <c r="G113" s="114"/>
      <c r="H113" s="114"/>
      <c r="I113" s="114"/>
      <c r="J113" s="114"/>
      <c r="K113" s="164"/>
      <c r="L113" s="202"/>
      <c r="M113" s="136"/>
      <c r="N113" s="136"/>
      <c r="O113" s="136"/>
      <c r="P113" s="136"/>
      <c r="Q113" s="136"/>
      <c r="R113" s="136"/>
      <c r="S113" s="136"/>
      <c r="T113" s="136"/>
      <c r="U113" s="136"/>
      <c r="V113" s="136"/>
      <c r="W113" s="136"/>
      <c r="X113" s="136"/>
      <c r="Y113" s="136"/>
      <c r="Z113" s="136"/>
      <c r="AA113" s="136"/>
    </row>
    <row r="114" spans="3:27">
      <c r="C114" s="72"/>
      <c r="D114" s="65" t="s">
        <v>19</v>
      </c>
      <c r="E114" s="114"/>
      <c r="F114" s="114"/>
      <c r="G114" s="114"/>
      <c r="H114" s="114"/>
      <c r="I114" s="114"/>
      <c r="J114" s="114"/>
      <c r="K114" s="164"/>
      <c r="L114" s="203"/>
      <c r="M114" s="136"/>
      <c r="N114" s="136"/>
      <c r="O114" s="136"/>
      <c r="P114" s="136"/>
      <c r="Q114" s="136"/>
      <c r="R114" s="136"/>
      <c r="S114" s="136"/>
      <c r="T114" s="136"/>
      <c r="U114" s="136"/>
      <c r="V114" s="136"/>
      <c r="W114" s="136"/>
      <c r="X114" s="136"/>
      <c r="Y114" s="136"/>
      <c r="Z114" s="136"/>
      <c r="AA114" s="136"/>
    </row>
    <row r="115" spans="3:27">
      <c r="C115" s="72"/>
      <c r="D115" s="65" t="s">
        <v>20</v>
      </c>
      <c r="E115" s="114"/>
      <c r="F115" s="114"/>
      <c r="G115" s="114"/>
      <c r="H115" s="114"/>
      <c r="I115" s="114"/>
      <c r="J115" s="114"/>
      <c r="K115" s="164"/>
      <c r="L115" s="203"/>
      <c r="M115" s="136"/>
      <c r="N115" s="136"/>
      <c r="O115" s="136"/>
      <c r="P115" s="136"/>
      <c r="Q115" s="136"/>
      <c r="R115" s="136"/>
      <c r="S115" s="136"/>
      <c r="T115" s="136"/>
      <c r="U115" s="136"/>
      <c r="V115" s="136"/>
      <c r="W115" s="136"/>
      <c r="X115" s="136"/>
      <c r="Y115" s="136"/>
      <c r="Z115" s="136"/>
      <c r="AA115" s="136"/>
    </row>
    <row r="116" spans="3:27">
      <c r="C116" s="73"/>
      <c r="D116" s="65" t="s">
        <v>21</v>
      </c>
      <c r="E116" s="114"/>
      <c r="F116" s="114"/>
      <c r="G116" s="114"/>
      <c r="H116" s="114"/>
      <c r="I116" s="114"/>
      <c r="J116" s="114"/>
      <c r="K116" s="164"/>
      <c r="L116" s="203"/>
      <c r="M116" s="136"/>
      <c r="N116" s="136"/>
      <c r="O116" s="136"/>
      <c r="P116" s="136"/>
      <c r="Q116" s="136"/>
      <c r="R116" s="136"/>
      <c r="S116" s="136"/>
      <c r="T116" s="136"/>
      <c r="U116" s="136"/>
      <c r="V116" s="136"/>
      <c r="W116" s="136"/>
      <c r="X116" s="136"/>
      <c r="Y116" s="136"/>
      <c r="Z116" s="136"/>
      <c r="AA116" s="136"/>
    </row>
    <row r="117" spans="3:27">
      <c r="C117" s="67" t="s">
        <v>668</v>
      </c>
      <c r="D117" s="114"/>
      <c r="E117" s="114"/>
      <c r="F117" s="114"/>
      <c r="G117" s="114"/>
      <c r="H117" s="114"/>
      <c r="I117" s="114"/>
      <c r="J117" s="114"/>
      <c r="K117" s="114"/>
      <c r="L117" s="175"/>
      <c r="M117" s="136"/>
      <c r="N117" s="136"/>
      <c r="O117" s="136"/>
      <c r="P117" s="136"/>
      <c r="Q117" s="136"/>
      <c r="R117" s="136"/>
      <c r="S117" s="136"/>
      <c r="T117" s="136"/>
      <c r="U117" s="136"/>
      <c r="V117" s="136"/>
      <c r="W117" s="136"/>
      <c r="X117" s="136"/>
      <c r="Y117" s="136"/>
      <c r="Z117" s="136"/>
      <c r="AA117" s="136"/>
    </row>
    <row r="118" spans="3:27">
      <c r="C118" s="68"/>
      <c r="D118" s="67" t="s">
        <v>671</v>
      </c>
      <c r="E118" s="114"/>
      <c r="F118" s="114"/>
      <c r="G118" s="114"/>
      <c r="H118" s="114"/>
      <c r="I118" s="114"/>
      <c r="J118" s="114"/>
      <c r="K118" s="114"/>
      <c r="L118" s="175"/>
      <c r="M118" s="136"/>
      <c r="N118" s="136"/>
      <c r="O118" s="136"/>
      <c r="P118" s="136"/>
      <c r="Q118" s="136"/>
      <c r="R118" s="136"/>
      <c r="S118" s="136"/>
      <c r="T118" s="136"/>
      <c r="U118" s="136"/>
      <c r="V118" s="136"/>
      <c r="W118" s="136"/>
      <c r="X118" s="136"/>
      <c r="Y118" s="136"/>
      <c r="Z118" s="136"/>
      <c r="AA118" s="136"/>
    </row>
    <row r="119" spans="3:27" ht="32.15" customHeight="1">
      <c r="C119" s="72"/>
      <c r="D119" s="72"/>
      <c r="E119" s="65" t="s">
        <v>47</v>
      </c>
      <c r="F119" s="58"/>
      <c r="G119" s="58"/>
      <c r="H119" s="58"/>
      <c r="I119" s="58"/>
      <c r="J119" s="58"/>
      <c r="K119" s="58"/>
      <c r="L119" s="204" t="str" cm="1">
        <f t="array" aca="1" ref="L119" ca="1">IF(L17="","※OS名を選択してください。"&amp;"(セル：L"&amp;CELL("row",L17)&amp;")",L17)</f>
        <v>※OS名を選択してください。(セル：L17)</v>
      </c>
      <c r="M119" s="136"/>
      <c r="N119" s="136"/>
      <c r="O119" s="136"/>
      <c r="P119" s="136"/>
      <c r="Q119" s="136"/>
      <c r="R119" s="136"/>
      <c r="S119" s="136"/>
      <c r="T119" s="136"/>
      <c r="U119" s="136"/>
      <c r="V119" s="136"/>
      <c r="W119" s="136"/>
      <c r="X119" s="136"/>
      <c r="Y119" s="136"/>
      <c r="Z119" s="136"/>
      <c r="AA119" s="136"/>
    </row>
    <row r="120" spans="3:27">
      <c r="C120" s="72"/>
      <c r="D120" s="73"/>
      <c r="E120" s="65" t="s">
        <v>49</v>
      </c>
      <c r="F120" s="58"/>
      <c r="G120" s="58"/>
      <c r="H120" s="58"/>
      <c r="I120" s="58"/>
      <c r="J120" s="58"/>
      <c r="K120" s="58"/>
      <c r="L120" s="205"/>
      <c r="M120" s="136"/>
      <c r="N120" s="136"/>
      <c r="O120" s="136"/>
      <c r="P120" s="136"/>
      <c r="Q120" s="136"/>
      <c r="R120" s="136"/>
      <c r="S120" s="136"/>
      <c r="T120" s="136"/>
      <c r="U120" s="136"/>
      <c r="V120" s="136"/>
      <c r="W120" s="136"/>
      <c r="X120" s="136"/>
      <c r="Y120" s="136"/>
      <c r="Z120" s="136"/>
      <c r="AA120" s="136"/>
    </row>
    <row r="121" spans="3:27">
      <c r="C121" s="72"/>
      <c r="D121" s="67" t="s">
        <v>672</v>
      </c>
      <c r="E121" s="114"/>
      <c r="F121" s="114"/>
      <c r="G121" s="114"/>
      <c r="H121" s="114"/>
      <c r="I121" s="114"/>
      <c r="J121" s="114"/>
      <c r="K121" s="114"/>
      <c r="L121" s="175"/>
      <c r="M121" s="136"/>
      <c r="N121" s="136"/>
      <c r="O121" s="136"/>
      <c r="P121" s="136"/>
      <c r="Q121" s="136"/>
      <c r="R121" s="136"/>
      <c r="S121" s="136"/>
      <c r="T121" s="136"/>
      <c r="U121" s="136"/>
      <c r="V121" s="136"/>
      <c r="W121" s="136"/>
      <c r="X121" s="136"/>
      <c r="Y121" s="136"/>
      <c r="Z121" s="136"/>
      <c r="AA121" s="136"/>
    </row>
    <row r="122" spans="3:27">
      <c r="C122" s="72"/>
      <c r="D122" s="72"/>
      <c r="E122" s="67" t="s">
        <v>43</v>
      </c>
      <c r="F122" s="58"/>
      <c r="G122" s="58"/>
      <c r="H122" s="58"/>
      <c r="I122" s="58"/>
      <c r="J122" s="58"/>
      <c r="K122" s="58"/>
      <c r="L122" s="207" t="str" cm="1">
        <f t="array" aca="1" ref="L122" ca="1">IF(L103="","※インスタンスタイプを選択してください。"&amp;"(セル：L"&amp;CELL("row",L103)&amp;")",LEFT(L103,FIND(" (",L103)-1))</f>
        <v>※インスタンスタイプを選択してください。(セル：L103)</v>
      </c>
      <c r="M122" s="136"/>
      <c r="N122" s="136"/>
      <c r="O122" s="136"/>
      <c r="P122" s="136"/>
      <c r="Q122" s="136"/>
      <c r="R122" s="136"/>
      <c r="S122" s="136"/>
      <c r="T122" s="136"/>
      <c r="U122" s="136"/>
      <c r="V122" s="136"/>
      <c r="W122" s="136"/>
      <c r="X122" s="136"/>
      <c r="Y122" s="136"/>
      <c r="Z122" s="136"/>
      <c r="AA122" s="136"/>
    </row>
    <row r="123" spans="3:27">
      <c r="C123" s="72"/>
      <c r="D123" s="72"/>
      <c r="E123" s="72"/>
      <c r="F123" s="65" t="s">
        <v>45</v>
      </c>
      <c r="G123" s="58"/>
      <c r="H123" s="58"/>
      <c r="I123" s="58"/>
      <c r="J123" s="58"/>
      <c r="K123" s="58"/>
      <c r="L123" s="207"/>
      <c r="M123" s="136"/>
      <c r="N123" s="136"/>
      <c r="O123" s="136"/>
      <c r="P123" s="136"/>
      <c r="Q123" s="136"/>
      <c r="R123" s="136"/>
      <c r="S123" s="136"/>
      <c r="T123" s="136"/>
      <c r="U123" s="136"/>
      <c r="V123" s="136"/>
      <c r="W123" s="136"/>
      <c r="X123" s="136"/>
      <c r="Y123" s="136"/>
      <c r="Z123" s="136"/>
      <c r="AA123" s="136"/>
    </row>
    <row r="124" spans="3:27">
      <c r="C124" s="72"/>
      <c r="D124" s="73"/>
      <c r="E124" s="73"/>
      <c r="F124" s="65" t="s">
        <v>46</v>
      </c>
      <c r="G124" s="58"/>
      <c r="H124" s="58"/>
      <c r="I124" s="58"/>
      <c r="J124" s="58"/>
      <c r="K124" s="58"/>
      <c r="L124" s="208"/>
      <c r="M124" s="136"/>
      <c r="N124" s="136"/>
      <c r="O124" s="136"/>
      <c r="P124" s="136"/>
      <c r="Q124" s="136"/>
      <c r="R124" s="136"/>
      <c r="S124" s="136"/>
      <c r="T124" s="136"/>
      <c r="U124" s="136"/>
      <c r="V124" s="136"/>
      <c r="W124" s="136"/>
      <c r="X124" s="136"/>
      <c r="Y124" s="136"/>
      <c r="Z124" s="136"/>
      <c r="AA124" s="136"/>
    </row>
    <row r="125" spans="3:27">
      <c r="C125" s="72"/>
      <c r="D125" s="67" t="s">
        <v>678</v>
      </c>
      <c r="E125" s="114"/>
      <c r="F125" s="114"/>
      <c r="G125" s="114"/>
      <c r="H125" s="114"/>
      <c r="I125" s="114"/>
      <c r="J125" s="114"/>
      <c r="K125" s="114"/>
      <c r="L125" s="175"/>
      <c r="M125" s="136"/>
      <c r="N125" s="136"/>
      <c r="O125" s="136"/>
      <c r="P125" s="136"/>
      <c r="Q125" s="136"/>
      <c r="R125" s="136"/>
      <c r="S125" s="136"/>
      <c r="T125" s="136"/>
      <c r="U125" s="136"/>
      <c r="V125" s="136"/>
      <c r="W125" s="136"/>
      <c r="X125" s="136"/>
      <c r="Y125" s="136"/>
      <c r="Z125" s="136"/>
      <c r="AA125" s="136"/>
    </row>
    <row r="126" spans="3:27">
      <c r="C126" s="72"/>
      <c r="D126" s="72"/>
      <c r="E126" s="65" t="s">
        <v>208</v>
      </c>
      <c r="F126" s="58"/>
      <c r="G126" s="58"/>
      <c r="H126" s="58"/>
      <c r="I126" s="58"/>
      <c r="J126" s="58"/>
      <c r="K126" s="58"/>
      <c r="L126" s="203" t="str">
        <f>L111&amp;" | "&amp;L110</f>
        <v xml:space="preserve"> | </v>
      </c>
      <c r="M126" s="136"/>
      <c r="N126" s="136"/>
      <c r="O126" s="136"/>
      <c r="P126" s="136"/>
      <c r="Q126" s="136"/>
      <c r="R126" s="136"/>
      <c r="S126" s="136"/>
      <c r="T126" s="136"/>
      <c r="U126" s="136"/>
      <c r="V126" s="136"/>
      <c r="W126" s="136"/>
      <c r="X126" s="136"/>
      <c r="Y126" s="136"/>
      <c r="Z126" s="136"/>
      <c r="AA126" s="136"/>
    </row>
    <row r="127" spans="3:27">
      <c r="C127" s="72"/>
      <c r="D127" s="72"/>
      <c r="E127" s="65" t="s">
        <v>825</v>
      </c>
      <c r="F127" s="58"/>
      <c r="G127" s="58"/>
      <c r="H127" s="58"/>
      <c r="I127" s="58"/>
      <c r="J127" s="58"/>
      <c r="K127" s="58"/>
      <c r="L127" s="203" t="str">
        <f>L115&amp;" | "&amp;L114&amp;" | "&amp;L113</f>
        <v xml:space="preserve"> |  | </v>
      </c>
      <c r="M127" s="136"/>
      <c r="N127" s="136"/>
      <c r="O127" s="136"/>
      <c r="P127" s="136"/>
      <c r="Q127" s="136"/>
      <c r="R127" s="136"/>
      <c r="S127" s="136"/>
      <c r="T127" s="136"/>
      <c r="U127" s="136"/>
      <c r="V127" s="136"/>
      <c r="W127" s="136"/>
      <c r="X127" s="136"/>
      <c r="Y127" s="136"/>
      <c r="Z127" s="136"/>
      <c r="AA127" s="136"/>
    </row>
    <row r="128" spans="3:27">
      <c r="C128" s="72"/>
      <c r="D128" s="72"/>
      <c r="E128" s="65" t="s">
        <v>207</v>
      </c>
      <c r="F128" s="58"/>
      <c r="G128" s="58"/>
      <c r="H128" s="58"/>
      <c r="I128" s="58"/>
      <c r="J128" s="58"/>
      <c r="K128" s="58"/>
      <c r="L128" s="206" t="s">
        <v>1154</v>
      </c>
      <c r="M128" s="136"/>
      <c r="N128" s="136"/>
      <c r="O128" s="136"/>
      <c r="P128" s="136"/>
      <c r="Q128" s="136"/>
      <c r="R128" s="136"/>
      <c r="S128" s="136"/>
      <c r="T128" s="136"/>
      <c r="U128" s="136"/>
      <c r="V128" s="136"/>
      <c r="W128" s="136"/>
      <c r="X128" s="136"/>
      <c r="Y128" s="136"/>
      <c r="Z128" s="136"/>
      <c r="AA128" s="136"/>
    </row>
    <row r="129" spans="3:28">
      <c r="C129" s="72"/>
      <c r="D129" s="72"/>
      <c r="E129" s="67" t="s">
        <v>662</v>
      </c>
      <c r="F129" s="58"/>
      <c r="G129" s="58"/>
      <c r="H129" s="58"/>
      <c r="I129" s="58"/>
      <c r="J129" s="58"/>
      <c r="K129" s="58"/>
      <c r="L129" s="205" t="str">
        <f>"有効"</f>
        <v>有効</v>
      </c>
      <c r="M129" s="136"/>
      <c r="N129" s="136"/>
      <c r="O129" s="136"/>
      <c r="P129" s="136"/>
      <c r="Q129" s="136"/>
      <c r="R129" s="136"/>
      <c r="S129" s="136"/>
      <c r="T129" s="136"/>
      <c r="U129" s="136"/>
      <c r="V129" s="136"/>
      <c r="W129" s="136"/>
      <c r="X129" s="136"/>
      <c r="Y129" s="136"/>
      <c r="Z129" s="136"/>
      <c r="AA129" s="136"/>
    </row>
    <row r="130" spans="3:28">
      <c r="C130" s="72"/>
      <c r="D130" s="72"/>
      <c r="E130" s="67" t="s">
        <v>50</v>
      </c>
      <c r="F130" s="58"/>
      <c r="G130" s="58"/>
      <c r="H130" s="58"/>
      <c r="I130" s="58"/>
      <c r="J130" s="58"/>
      <c r="K130" s="58"/>
      <c r="L130" s="206" t="s">
        <v>663</v>
      </c>
      <c r="M130" s="136"/>
      <c r="N130" s="136"/>
      <c r="O130" s="136"/>
      <c r="P130" s="136"/>
      <c r="Q130" s="136"/>
      <c r="R130" s="136"/>
      <c r="S130" s="136"/>
      <c r="T130" s="136"/>
      <c r="U130" s="136"/>
      <c r="V130" s="136"/>
      <c r="W130" s="136"/>
      <c r="X130" s="136"/>
      <c r="Y130" s="136"/>
      <c r="Z130" s="136"/>
      <c r="AA130" s="136"/>
    </row>
    <row r="131" spans="3:28">
      <c r="C131" s="72"/>
      <c r="D131" s="72"/>
      <c r="E131" s="67" t="s">
        <v>705</v>
      </c>
      <c r="F131" s="58"/>
      <c r="G131" s="58"/>
      <c r="H131" s="58"/>
      <c r="I131" s="58"/>
      <c r="J131" s="58"/>
      <c r="K131" s="114"/>
      <c r="L131" s="175"/>
      <c r="M131" s="136"/>
      <c r="N131" s="136"/>
      <c r="O131" s="136"/>
      <c r="P131" s="136"/>
      <c r="Q131" s="136"/>
      <c r="R131" s="136"/>
      <c r="S131" s="136"/>
      <c r="T131" s="136"/>
      <c r="U131" s="136"/>
      <c r="V131" s="136"/>
      <c r="W131" s="136"/>
      <c r="X131" s="136"/>
      <c r="Y131" s="136"/>
      <c r="Z131" s="136"/>
      <c r="AA131" s="136"/>
    </row>
    <row r="132" spans="3:28">
      <c r="C132" s="72"/>
      <c r="D132" s="72"/>
      <c r="E132" s="72"/>
      <c r="F132" s="65" t="s">
        <v>706</v>
      </c>
      <c r="G132" s="58"/>
      <c r="H132" s="60"/>
      <c r="I132" s="172" t="e">
        <f>IF(LEFT(L116,1)="※","-",LEFT(L116,FIND(".",L116,FIND(".",L116,FIND(".",L116)+1)+1)))</f>
        <v>#VALUE!</v>
      </c>
      <c r="J132" s="173"/>
      <c r="K132" s="173"/>
      <c r="L132" s="209"/>
      <c r="M132" s="136"/>
      <c r="N132" s="136"/>
      <c r="O132" s="136"/>
      <c r="P132" s="136"/>
      <c r="Q132" s="136"/>
      <c r="R132" s="136"/>
      <c r="S132" s="136"/>
      <c r="T132" s="136"/>
      <c r="U132" s="136"/>
      <c r="V132" s="136"/>
      <c r="W132" s="136"/>
      <c r="X132" s="136"/>
      <c r="Y132" s="136"/>
      <c r="Z132" s="136"/>
      <c r="AA132" s="136"/>
      <c r="AB132" s="136"/>
    </row>
    <row r="133" spans="3:28">
      <c r="C133" s="72"/>
      <c r="D133" s="72"/>
      <c r="E133" s="73"/>
      <c r="F133" s="65" t="s">
        <v>707</v>
      </c>
      <c r="G133" s="58"/>
      <c r="H133" s="60"/>
      <c r="I133" s="172" t="e">
        <f>IF(LEFT(L116,1)="※","-",LEFT(L116,FIND(".",L116,FIND(".",L116,FIND(".",L116)+1)+1)))</f>
        <v>#VALUE!</v>
      </c>
      <c r="J133" s="173"/>
      <c r="K133" s="173"/>
      <c r="L133" s="209"/>
      <c r="M133" s="136"/>
      <c r="N133" s="136"/>
      <c r="O133" s="136"/>
      <c r="P133" s="136"/>
      <c r="Q133" s="136"/>
      <c r="R133" s="136"/>
      <c r="S133" s="136"/>
      <c r="T133" s="136"/>
      <c r="U133" s="136"/>
      <c r="V133" s="136"/>
      <c r="W133" s="136"/>
      <c r="X133" s="136"/>
      <c r="Y133" s="136"/>
      <c r="Z133" s="136"/>
      <c r="AA133" s="136"/>
      <c r="AB133" s="136"/>
    </row>
    <row r="134" spans="3:28">
      <c r="C134" s="72"/>
      <c r="D134" s="67" t="s">
        <v>673</v>
      </c>
      <c r="E134" s="114"/>
      <c r="F134" s="114"/>
      <c r="G134" s="114"/>
      <c r="H134" s="114"/>
      <c r="I134" s="114"/>
      <c r="J134" s="114"/>
      <c r="K134" s="114"/>
      <c r="L134" s="175"/>
      <c r="M134" s="136"/>
      <c r="N134" s="136"/>
      <c r="O134" s="136"/>
      <c r="P134" s="136"/>
      <c r="Q134" s="136"/>
      <c r="R134" s="136"/>
      <c r="S134" s="136"/>
      <c r="T134" s="136"/>
      <c r="U134" s="136"/>
      <c r="V134" s="136"/>
      <c r="W134" s="136"/>
      <c r="X134" s="136"/>
      <c r="Y134" s="136"/>
      <c r="Z134" s="136"/>
      <c r="AA134" s="136"/>
    </row>
    <row r="135" spans="3:28">
      <c r="C135" s="72"/>
      <c r="D135" s="72"/>
      <c r="E135" s="67" t="s">
        <v>65</v>
      </c>
      <c r="F135" s="114"/>
      <c r="G135" s="114"/>
      <c r="H135" s="114"/>
      <c r="I135" s="114"/>
      <c r="J135" s="114"/>
      <c r="K135" s="114"/>
      <c r="L135" s="180"/>
      <c r="M135" s="136"/>
      <c r="N135" s="136"/>
      <c r="O135" s="136"/>
      <c r="P135" s="136"/>
      <c r="Q135" s="136"/>
      <c r="R135" s="136"/>
      <c r="S135" s="136"/>
      <c r="T135" s="136"/>
      <c r="U135" s="136"/>
      <c r="V135" s="136"/>
      <c r="W135" s="136"/>
      <c r="X135" s="136"/>
      <c r="Y135" s="136"/>
      <c r="Z135" s="136"/>
      <c r="AA135" s="136"/>
    </row>
    <row r="136" spans="3:28">
      <c r="C136" s="72"/>
      <c r="D136" s="72"/>
      <c r="E136" s="68"/>
      <c r="F136" s="116" t="s">
        <v>66</v>
      </c>
      <c r="G136" s="122"/>
      <c r="H136" s="122"/>
      <c r="I136" s="122"/>
      <c r="J136" s="122"/>
      <c r="K136" s="122"/>
      <c r="L136" s="211">
        <f>L31</f>
        <v>0</v>
      </c>
      <c r="M136" s="136"/>
      <c r="N136" s="136"/>
      <c r="O136" s="136"/>
      <c r="P136" s="136"/>
      <c r="Q136" s="136"/>
      <c r="R136" s="136"/>
      <c r="S136" s="136"/>
      <c r="T136" s="136"/>
      <c r="U136" s="136"/>
      <c r="V136" s="136"/>
      <c r="W136" s="136"/>
      <c r="X136" s="136"/>
      <c r="Y136" s="136"/>
      <c r="Z136" s="136"/>
      <c r="AA136" s="136"/>
    </row>
    <row r="137" spans="3:28">
      <c r="C137" s="68"/>
      <c r="D137" s="68"/>
      <c r="E137" s="68"/>
      <c r="F137" s="129" t="s">
        <v>641</v>
      </c>
      <c r="G137" s="118"/>
      <c r="H137" s="118"/>
      <c r="I137" s="118"/>
      <c r="J137" s="118"/>
      <c r="K137" s="118"/>
      <c r="L137" s="212" t="str">
        <f>"/dev/sda1"</f>
        <v>/dev/sda1</v>
      </c>
      <c r="M137" s="136"/>
      <c r="N137" s="136"/>
      <c r="O137" s="136"/>
      <c r="P137" s="136"/>
      <c r="Q137" s="136"/>
      <c r="R137" s="136"/>
      <c r="S137" s="136"/>
      <c r="T137" s="136"/>
      <c r="U137" s="136"/>
      <c r="V137" s="136"/>
      <c r="W137" s="136"/>
      <c r="X137" s="136"/>
      <c r="Y137" s="136"/>
      <c r="Z137" s="136"/>
      <c r="AA137" s="136"/>
    </row>
    <row r="138" spans="3:28">
      <c r="C138" s="68"/>
      <c r="D138" s="68"/>
      <c r="E138" s="68"/>
      <c r="F138" s="129" t="s">
        <v>220</v>
      </c>
      <c r="G138" s="118"/>
      <c r="H138" s="118"/>
      <c r="I138" s="118"/>
      <c r="J138" s="118"/>
      <c r="K138" s="118"/>
      <c r="L138" s="213">
        <f>L32</f>
        <v>0</v>
      </c>
      <c r="M138" s="136"/>
      <c r="N138" s="136"/>
      <c r="O138" s="136"/>
      <c r="P138" s="136"/>
      <c r="Q138" s="136"/>
      <c r="R138" s="136"/>
      <c r="S138" s="136"/>
      <c r="T138" s="136"/>
      <c r="U138" s="136"/>
      <c r="V138" s="136"/>
      <c r="W138" s="136"/>
      <c r="X138" s="136"/>
      <c r="Y138" s="136"/>
      <c r="Z138" s="136"/>
      <c r="AA138" s="136"/>
    </row>
    <row r="139" spans="3:28">
      <c r="C139" s="68"/>
      <c r="D139" s="68"/>
      <c r="E139" s="68"/>
      <c r="F139" s="129" t="s">
        <v>70</v>
      </c>
      <c r="G139" s="118"/>
      <c r="H139" s="118"/>
      <c r="I139" s="118"/>
      <c r="J139" s="118"/>
      <c r="K139" s="118"/>
      <c r="L139" s="214">
        <f>L33</f>
        <v>0</v>
      </c>
      <c r="M139" s="136"/>
      <c r="N139" s="136"/>
      <c r="O139" s="136"/>
      <c r="P139" s="136"/>
      <c r="Q139" s="136"/>
      <c r="R139" s="136"/>
      <c r="S139" s="136"/>
      <c r="T139" s="136"/>
      <c r="U139" s="136"/>
      <c r="V139" s="136"/>
      <c r="W139" s="136"/>
      <c r="X139" s="136"/>
      <c r="Y139" s="136"/>
      <c r="Z139" s="136"/>
      <c r="AA139" s="136"/>
    </row>
    <row r="140" spans="3:28">
      <c r="C140" s="68"/>
      <c r="D140" s="68"/>
      <c r="E140" s="68"/>
      <c r="F140" s="129" t="s">
        <v>72</v>
      </c>
      <c r="G140" s="118"/>
      <c r="H140" s="118"/>
      <c r="I140" s="118"/>
      <c r="J140" s="118"/>
      <c r="K140" s="118"/>
      <c r="L140" s="214">
        <f>L34</f>
        <v>0</v>
      </c>
      <c r="M140" s="136"/>
      <c r="N140" s="136"/>
      <c r="O140" s="136"/>
      <c r="P140" s="136"/>
      <c r="Q140" s="136"/>
      <c r="R140" s="136"/>
      <c r="S140" s="136"/>
      <c r="T140" s="136"/>
      <c r="U140" s="136"/>
      <c r="V140" s="136"/>
      <c r="W140" s="136"/>
      <c r="X140" s="136"/>
      <c r="Y140" s="136"/>
      <c r="Z140" s="136"/>
      <c r="AA140" s="136"/>
    </row>
    <row r="141" spans="3:28">
      <c r="C141" s="72"/>
      <c r="D141" s="72"/>
      <c r="E141" s="72"/>
      <c r="F141" s="129" t="s">
        <v>73</v>
      </c>
      <c r="G141" s="118"/>
      <c r="H141" s="118"/>
      <c r="I141" s="118"/>
      <c r="J141" s="118"/>
      <c r="K141" s="118"/>
      <c r="L141" s="215">
        <f>L35</f>
        <v>0</v>
      </c>
      <c r="M141" s="136"/>
      <c r="N141" s="136"/>
      <c r="O141" s="136"/>
      <c r="P141" s="136"/>
      <c r="Q141" s="136"/>
      <c r="R141" s="136"/>
      <c r="S141" s="136"/>
      <c r="T141" s="136"/>
      <c r="U141" s="136"/>
      <c r="V141" s="136"/>
      <c r="W141" s="136"/>
      <c r="X141" s="136"/>
      <c r="Y141" s="136"/>
      <c r="Z141" s="136"/>
      <c r="AA141" s="136"/>
    </row>
    <row r="142" spans="3:28">
      <c r="C142" s="72"/>
      <c r="D142" s="72"/>
      <c r="E142" s="72"/>
      <c r="F142" s="129" t="s">
        <v>132</v>
      </c>
      <c r="G142" s="118"/>
      <c r="H142" s="118"/>
      <c r="I142" s="118"/>
      <c r="J142" s="118"/>
      <c r="K142" s="118"/>
      <c r="L142" s="215" t="str">
        <f>"有効"</f>
        <v>有効</v>
      </c>
      <c r="M142" s="136"/>
      <c r="N142" s="136"/>
      <c r="O142" s="136"/>
      <c r="P142" s="136"/>
      <c r="Q142" s="136"/>
      <c r="R142" s="136"/>
      <c r="S142" s="136"/>
      <c r="T142" s="136"/>
      <c r="U142" s="136"/>
      <c r="V142" s="136"/>
      <c r="W142" s="136"/>
      <c r="X142" s="136"/>
      <c r="Y142" s="136"/>
      <c r="Z142" s="136"/>
      <c r="AA142" s="136"/>
    </row>
    <row r="143" spans="3:28" ht="18.75" customHeight="1">
      <c r="C143" s="72"/>
      <c r="D143" s="72"/>
      <c r="E143" s="72"/>
      <c r="F143" s="129" t="s">
        <v>642</v>
      </c>
      <c r="G143" s="118"/>
      <c r="H143" s="118"/>
      <c r="I143" s="118"/>
      <c r="J143" s="118"/>
      <c r="K143" s="118"/>
      <c r="L143" s="215" t="str">
        <f>"aws/ebs"</f>
        <v>aws/ebs</v>
      </c>
      <c r="M143" s="136"/>
      <c r="N143" s="136"/>
      <c r="O143" s="136"/>
      <c r="P143" s="136"/>
      <c r="Q143" s="136"/>
      <c r="R143" s="136"/>
      <c r="S143" s="136"/>
      <c r="T143" s="136"/>
      <c r="U143" s="136"/>
      <c r="V143" s="136"/>
      <c r="W143" s="136"/>
      <c r="X143" s="136"/>
      <c r="Y143" s="136"/>
      <c r="Z143" s="136"/>
      <c r="AA143" s="136"/>
    </row>
    <row r="144" spans="3:28">
      <c r="C144" s="72"/>
      <c r="D144" s="72"/>
      <c r="E144" s="67" t="s">
        <v>77</v>
      </c>
      <c r="F144" s="114"/>
      <c r="G144" s="114"/>
      <c r="H144" s="114"/>
      <c r="I144" s="114"/>
      <c r="J144" s="114"/>
      <c r="K144" s="114"/>
      <c r="L144" s="180"/>
      <c r="M144" s="136"/>
      <c r="N144" s="136"/>
      <c r="O144" s="136"/>
      <c r="P144" s="136"/>
      <c r="Q144" s="136"/>
      <c r="R144" s="136"/>
      <c r="S144" s="136"/>
      <c r="T144" s="136"/>
      <c r="U144" s="136"/>
      <c r="V144" s="136"/>
      <c r="W144" s="136"/>
      <c r="X144" s="136"/>
      <c r="Y144" s="136"/>
      <c r="Z144" s="136"/>
      <c r="AA144" s="136"/>
    </row>
    <row r="145" spans="3:27">
      <c r="C145" s="72"/>
      <c r="D145" s="72"/>
      <c r="E145" s="68"/>
      <c r="F145" s="130" t="s">
        <v>66</v>
      </c>
      <c r="G145" s="122"/>
      <c r="H145" s="122"/>
      <c r="I145" s="122"/>
      <c r="J145" s="122"/>
      <c r="K145" s="122"/>
      <c r="L145" s="178" t="str">
        <f>IF(L37=0,"",L37)</f>
        <v/>
      </c>
      <c r="M145" s="136"/>
      <c r="N145" s="136"/>
      <c r="O145" s="136"/>
      <c r="P145" s="136"/>
      <c r="Q145" s="136"/>
      <c r="R145" s="136"/>
      <c r="S145" s="136"/>
      <c r="T145" s="136"/>
      <c r="U145" s="136"/>
      <c r="V145" s="136"/>
      <c r="W145" s="136"/>
      <c r="X145" s="136"/>
      <c r="Y145" s="136"/>
      <c r="Z145" s="136"/>
      <c r="AA145" s="136"/>
    </row>
    <row r="146" spans="3:27">
      <c r="C146" s="72"/>
      <c r="D146" s="72"/>
      <c r="E146" s="68"/>
      <c r="F146" s="129" t="s">
        <v>641</v>
      </c>
      <c r="G146" s="118"/>
      <c r="H146" s="118"/>
      <c r="I146" s="118"/>
      <c r="J146" s="118"/>
      <c r="K146" s="118"/>
      <c r="L146" s="212" t="str">
        <f>IF(OR(L145="",L145=0),"","xvd"&amp;(LOWER(L145)))</f>
        <v/>
      </c>
      <c r="M146" s="136"/>
      <c r="N146" s="136"/>
      <c r="O146" s="136"/>
      <c r="P146" s="136"/>
      <c r="Q146" s="136"/>
      <c r="R146" s="136"/>
      <c r="S146" s="136"/>
      <c r="T146" s="136"/>
      <c r="U146" s="136"/>
      <c r="V146" s="136"/>
      <c r="W146" s="136"/>
      <c r="X146" s="136"/>
      <c r="Y146" s="136"/>
      <c r="Z146" s="136"/>
      <c r="AA146" s="136"/>
    </row>
    <row r="147" spans="3:27">
      <c r="C147" s="72"/>
      <c r="D147" s="72"/>
      <c r="E147" s="68"/>
      <c r="F147" s="129" t="s">
        <v>220</v>
      </c>
      <c r="G147" s="118"/>
      <c r="H147" s="118"/>
      <c r="I147" s="118"/>
      <c r="J147" s="118"/>
      <c r="K147" s="118"/>
      <c r="L147" s="213" t="str">
        <f>IF(L145="","",L38)</f>
        <v/>
      </c>
      <c r="M147" s="136"/>
      <c r="N147" s="136"/>
      <c r="O147" s="136"/>
      <c r="P147" s="136"/>
      <c r="Q147" s="136"/>
      <c r="R147" s="136"/>
      <c r="S147" s="136"/>
      <c r="T147" s="136"/>
      <c r="U147" s="136"/>
      <c r="V147" s="136"/>
      <c r="W147" s="136"/>
      <c r="X147" s="136"/>
      <c r="Y147" s="136"/>
      <c r="Z147" s="136"/>
      <c r="AA147" s="136"/>
    </row>
    <row r="148" spans="3:27">
      <c r="C148" s="72"/>
      <c r="D148" s="72"/>
      <c r="E148" s="68"/>
      <c r="F148" s="129" t="s">
        <v>70</v>
      </c>
      <c r="G148" s="118"/>
      <c r="H148" s="118"/>
      <c r="I148" s="118"/>
      <c r="J148" s="118"/>
      <c r="K148" s="118"/>
      <c r="L148" s="214" t="str">
        <f>IF(L145="","",L39)</f>
        <v/>
      </c>
      <c r="M148" s="136"/>
      <c r="N148" s="136"/>
      <c r="O148" s="136"/>
      <c r="P148" s="136"/>
      <c r="Q148" s="136"/>
      <c r="R148" s="136"/>
      <c r="S148" s="136"/>
      <c r="T148" s="136"/>
      <c r="U148" s="136"/>
      <c r="V148" s="136"/>
      <c r="W148" s="136"/>
      <c r="X148" s="136"/>
      <c r="Y148" s="136"/>
      <c r="Z148" s="136"/>
      <c r="AA148" s="136"/>
    </row>
    <row r="149" spans="3:27">
      <c r="C149" s="72"/>
      <c r="D149" s="72"/>
      <c r="E149" s="68"/>
      <c r="F149" s="129" t="s">
        <v>72</v>
      </c>
      <c r="G149" s="118"/>
      <c r="H149" s="118"/>
      <c r="I149" s="118"/>
      <c r="J149" s="118"/>
      <c r="K149" s="118"/>
      <c r="L149" s="214" t="str">
        <f>IF(L145="","",L40)</f>
        <v/>
      </c>
      <c r="M149" s="136"/>
      <c r="N149" s="136"/>
      <c r="O149" s="136"/>
      <c r="P149" s="136"/>
      <c r="Q149" s="136"/>
      <c r="R149" s="136"/>
      <c r="S149" s="136"/>
      <c r="T149" s="136"/>
      <c r="U149" s="136"/>
      <c r="V149" s="136"/>
      <c r="W149" s="136"/>
      <c r="X149" s="136"/>
      <c r="Y149" s="136"/>
      <c r="Z149" s="136"/>
      <c r="AA149" s="136"/>
    </row>
    <row r="150" spans="3:27">
      <c r="C150" s="72"/>
      <c r="D150" s="72"/>
      <c r="E150" s="72"/>
      <c r="F150" s="129" t="s">
        <v>73</v>
      </c>
      <c r="G150" s="118"/>
      <c r="H150" s="118"/>
      <c r="I150" s="118"/>
      <c r="J150" s="118"/>
      <c r="K150" s="118"/>
      <c r="L150" s="215" t="str">
        <f>IF(L145="","",L41)</f>
        <v/>
      </c>
      <c r="M150" s="136"/>
      <c r="N150" s="136"/>
      <c r="O150" s="136"/>
      <c r="P150" s="136"/>
      <c r="Q150" s="136"/>
      <c r="R150" s="136"/>
      <c r="S150" s="136"/>
      <c r="T150" s="136"/>
      <c r="U150" s="136"/>
      <c r="V150" s="136"/>
      <c r="W150" s="136"/>
      <c r="X150" s="136"/>
      <c r="Y150" s="136"/>
      <c r="Z150" s="136"/>
      <c r="AA150" s="136"/>
    </row>
    <row r="151" spans="3:27">
      <c r="C151" s="72"/>
      <c r="D151" s="72"/>
      <c r="E151" s="72"/>
      <c r="F151" s="129" t="s">
        <v>132</v>
      </c>
      <c r="G151" s="118"/>
      <c r="H151" s="118"/>
      <c r="I151" s="118"/>
      <c r="J151" s="118"/>
      <c r="K151" s="118"/>
      <c r="L151" s="215" t="str">
        <f>IF(L145="","","有効")</f>
        <v/>
      </c>
      <c r="M151" s="136"/>
      <c r="N151" s="136"/>
      <c r="O151" s="136"/>
      <c r="P151" s="136"/>
      <c r="Q151" s="136"/>
      <c r="R151" s="136"/>
      <c r="S151" s="136"/>
      <c r="T151" s="136"/>
      <c r="U151" s="136"/>
      <c r="V151" s="136"/>
      <c r="W151" s="136"/>
      <c r="X151" s="136"/>
      <c r="Y151" s="136"/>
      <c r="Z151" s="136"/>
      <c r="AA151" s="136"/>
    </row>
    <row r="152" spans="3:27">
      <c r="C152" s="72"/>
      <c r="D152" s="72"/>
      <c r="E152" s="72"/>
      <c r="F152" s="129" t="s">
        <v>642</v>
      </c>
      <c r="G152" s="118"/>
      <c r="H152" s="118"/>
      <c r="I152" s="118"/>
      <c r="J152" s="118"/>
      <c r="K152" s="118"/>
      <c r="L152" s="215" t="str">
        <f>IF(L145="","","aws/ebs")</f>
        <v/>
      </c>
      <c r="M152" s="136"/>
      <c r="N152" s="136"/>
      <c r="O152" s="136"/>
      <c r="P152" s="136"/>
      <c r="Q152" s="136"/>
      <c r="R152" s="136"/>
      <c r="S152" s="136"/>
      <c r="T152" s="136"/>
      <c r="U152" s="136"/>
      <c r="V152" s="136"/>
      <c r="W152" s="136"/>
      <c r="X152" s="136"/>
      <c r="Y152" s="136"/>
      <c r="Z152" s="136"/>
      <c r="AA152" s="136"/>
    </row>
    <row r="153" spans="3:27">
      <c r="C153" s="72"/>
      <c r="D153" s="72"/>
      <c r="E153" s="67" t="s">
        <v>79</v>
      </c>
      <c r="F153" s="114"/>
      <c r="G153" s="114"/>
      <c r="H153" s="114"/>
      <c r="I153" s="114"/>
      <c r="J153" s="114"/>
      <c r="K153" s="114"/>
      <c r="L153" s="181"/>
      <c r="M153" s="136"/>
      <c r="N153" s="136"/>
      <c r="O153" s="136"/>
      <c r="P153" s="136"/>
      <c r="Q153" s="136"/>
      <c r="R153" s="136"/>
      <c r="S153" s="136"/>
      <c r="T153" s="136"/>
      <c r="U153" s="136"/>
      <c r="V153" s="136"/>
      <c r="W153" s="136"/>
      <c r="X153" s="136"/>
      <c r="Y153" s="136"/>
      <c r="Z153" s="136"/>
      <c r="AA153" s="136"/>
    </row>
    <row r="154" spans="3:27">
      <c r="C154" s="72"/>
      <c r="D154" s="72"/>
      <c r="E154" s="68"/>
      <c r="F154" s="130" t="s">
        <v>66</v>
      </c>
      <c r="G154" s="122"/>
      <c r="H154" s="122"/>
      <c r="I154" s="122"/>
      <c r="J154" s="122"/>
      <c r="K154" s="122"/>
      <c r="L154" s="178" t="str">
        <f>IF(L43=0,"",L43)</f>
        <v/>
      </c>
      <c r="M154" s="136"/>
      <c r="N154" s="136"/>
      <c r="O154" s="136"/>
      <c r="P154" s="136"/>
      <c r="Q154" s="136"/>
      <c r="R154" s="136"/>
      <c r="S154" s="136"/>
      <c r="T154" s="136"/>
      <c r="U154" s="136"/>
      <c r="V154" s="136"/>
      <c r="W154" s="136"/>
      <c r="X154" s="136"/>
      <c r="Y154" s="136"/>
      <c r="Z154" s="136"/>
      <c r="AA154" s="136"/>
    </row>
    <row r="155" spans="3:27">
      <c r="C155" s="72"/>
      <c r="D155" s="72"/>
      <c r="E155" s="68"/>
      <c r="F155" s="129" t="s">
        <v>641</v>
      </c>
      <c r="G155" s="118"/>
      <c r="H155" s="118"/>
      <c r="I155" s="118"/>
      <c r="J155" s="118"/>
      <c r="K155" s="118"/>
      <c r="L155" s="212" t="str">
        <f>IF(OR(L154="",L154=0),"","xvd"&amp;(LOWER(L154)))</f>
        <v/>
      </c>
      <c r="M155" s="136"/>
      <c r="N155" s="136"/>
      <c r="O155" s="136"/>
      <c r="P155" s="136"/>
      <c r="Q155" s="136"/>
      <c r="R155" s="136"/>
      <c r="S155" s="136"/>
      <c r="T155" s="136"/>
      <c r="U155" s="136"/>
      <c r="V155" s="136"/>
      <c r="W155" s="136"/>
      <c r="X155" s="136"/>
      <c r="Y155" s="136"/>
      <c r="Z155" s="136"/>
      <c r="AA155" s="136"/>
    </row>
    <row r="156" spans="3:27">
      <c r="C156" s="72"/>
      <c r="D156" s="72"/>
      <c r="E156" s="68"/>
      <c r="F156" s="129" t="s">
        <v>220</v>
      </c>
      <c r="G156" s="118"/>
      <c r="H156" s="118"/>
      <c r="I156" s="118"/>
      <c r="J156" s="118"/>
      <c r="K156" s="118"/>
      <c r="L156" s="213" t="str">
        <f>IF(L154="","",L44)</f>
        <v/>
      </c>
      <c r="M156" s="136"/>
      <c r="N156" s="136"/>
      <c r="O156" s="136"/>
      <c r="P156" s="136"/>
      <c r="Q156" s="136"/>
      <c r="R156" s="136"/>
      <c r="S156" s="136"/>
      <c r="T156" s="136"/>
      <c r="U156" s="136"/>
      <c r="V156" s="136"/>
      <c r="W156" s="136"/>
      <c r="X156" s="136"/>
      <c r="Y156" s="136"/>
      <c r="Z156" s="136"/>
      <c r="AA156" s="136"/>
    </row>
    <row r="157" spans="3:27">
      <c r="C157" s="72"/>
      <c r="D157" s="72"/>
      <c r="E157" s="68"/>
      <c r="F157" s="129" t="s">
        <v>70</v>
      </c>
      <c r="G157" s="118"/>
      <c r="H157" s="118"/>
      <c r="I157" s="118"/>
      <c r="J157" s="118"/>
      <c r="K157" s="118"/>
      <c r="L157" s="214" t="str">
        <f>IF(L154="","",L45)</f>
        <v/>
      </c>
      <c r="M157" s="136"/>
      <c r="N157" s="136"/>
      <c r="O157" s="136"/>
      <c r="P157" s="136"/>
      <c r="Q157" s="136"/>
      <c r="R157" s="136"/>
      <c r="S157" s="136"/>
      <c r="T157" s="136"/>
      <c r="U157" s="136"/>
      <c r="V157" s="136"/>
      <c r="W157" s="136"/>
      <c r="X157" s="136"/>
      <c r="Y157" s="136"/>
      <c r="Z157" s="136"/>
      <c r="AA157" s="136"/>
    </row>
    <row r="158" spans="3:27">
      <c r="C158" s="72"/>
      <c r="D158" s="72"/>
      <c r="E158" s="72"/>
      <c r="F158" s="129" t="s">
        <v>72</v>
      </c>
      <c r="G158" s="118"/>
      <c r="H158" s="118"/>
      <c r="I158" s="118"/>
      <c r="J158" s="118"/>
      <c r="K158" s="118"/>
      <c r="L158" s="214" t="str">
        <f>IF(L154="","",L46)</f>
        <v/>
      </c>
      <c r="M158" s="136"/>
      <c r="N158" s="136"/>
      <c r="O158" s="136"/>
      <c r="P158" s="136"/>
      <c r="Q158" s="136"/>
      <c r="R158" s="136"/>
      <c r="S158" s="136"/>
      <c r="T158" s="136"/>
      <c r="U158" s="136"/>
      <c r="V158" s="136"/>
      <c r="W158" s="136"/>
      <c r="X158" s="136"/>
      <c r="Y158" s="136"/>
      <c r="Z158" s="136"/>
      <c r="AA158" s="136"/>
    </row>
    <row r="159" spans="3:27">
      <c r="C159" s="72"/>
      <c r="D159" s="72"/>
      <c r="E159" s="72"/>
      <c r="F159" s="129" t="s">
        <v>73</v>
      </c>
      <c r="G159" s="118"/>
      <c r="H159" s="118"/>
      <c r="I159" s="118"/>
      <c r="J159" s="118"/>
      <c r="K159" s="118"/>
      <c r="L159" s="215" t="str">
        <f>IF(L154="","",L47)</f>
        <v/>
      </c>
      <c r="M159" s="136"/>
      <c r="N159" s="136"/>
      <c r="O159" s="136"/>
      <c r="P159" s="136"/>
      <c r="Q159" s="136"/>
      <c r="R159" s="136"/>
      <c r="S159" s="136"/>
      <c r="T159" s="136"/>
      <c r="U159" s="136"/>
      <c r="V159" s="136"/>
      <c r="W159" s="136"/>
      <c r="X159" s="136"/>
      <c r="Y159" s="136"/>
      <c r="Z159" s="136"/>
      <c r="AA159" s="136"/>
    </row>
    <row r="160" spans="3:27">
      <c r="C160" s="72"/>
      <c r="D160" s="72"/>
      <c r="E160" s="72"/>
      <c r="F160" s="129" t="s">
        <v>132</v>
      </c>
      <c r="G160" s="118"/>
      <c r="H160" s="118"/>
      <c r="I160" s="118"/>
      <c r="J160" s="118"/>
      <c r="K160" s="118"/>
      <c r="L160" s="215" t="str">
        <f>IF(L154="","","有効")</f>
        <v/>
      </c>
      <c r="M160" s="136"/>
      <c r="N160" s="136"/>
      <c r="O160" s="136"/>
      <c r="P160" s="136"/>
      <c r="Q160" s="136"/>
      <c r="R160" s="136"/>
      <c r="S160" s="136"/>
      <c r="T160" s="136"/>
      <c r="U160" s="136"/>
      <c r="V160" s="136"/>
      <c r="W160" s="136"/>
      <c r="X160" s="136"/>
      <c r="Y160" s="136"/>
      <c r="Z160" s="136"/>
      <c r="AA160" s="136"/>
    </row>
    <row r="161" spans="3:27">
      <c r="C161" s="72"/>
      <c r="D161" s="72"/>
      <c r="E161" s="72"/>
      <c r="F161" s="129" t="s">
        <v>642</v>
      </c>
      <c r="G161" s="118"/>
      <c r="H161" s="118"/>
      <c r="I161" s="118"/>
      <c r="J161" s="118"/>
      <c r="K161" s="118"/>
      <c r="L161" s="215" t="str">
        <f>IF(L154="","","aws/ebs")</f>
        <v/>
      </c>
      <c r="M161" s="136"/>
      <c r="N161" s="136"/>
      <c r="O161" s="136"/>
      <c r="P161" s="136"/>
      <c r="Q161" s="136"/>
      <c r="R161" s="136"/>
      <c r="S161" s="136"/>
      <c r="T161" s="136"/>
      <c r="U161" s="136"/>
      <c r="V161" s="136"/>
      <c r="W161" s="136"/>
      <c r="X161" s="136"/>
      <c r="Y161" s="136"/>
      <c r="Z161" s="136"/>
      <c r="AA161" s="136"/>
    </row>
    <row r="162" spans="3:27">
      <c r="C162" s="72"/>
      <c r="D162" s="72"/>
      <c r="E162" s="67" t="s">
        <v>80</v>
      </c>
      <c r="F162" s="114"/>
      <c r="G162" s="114"/>
      <c r="H162" s="114"/>
      <c r="I162" s="114"/>
      <c r="J162" s="114"/>
      <c r="K162" s="114"/>
      <c r="L162" s="180"/>
      <c r="M162" s="136"/>
      <c r="N162" s="136"/>
      <c r="O162" s="136"/>
      <c r="P162" s="136"/>
      <c r="Q162" s="136"/>
      <c r="R162" s="136"/>
      <c r="S162" s="136"/>
      <c r="T162" s="136"/>
      <c r="U162" s="136"/>
      <c r="V162" s="136"/>
      <c r="W162" s="136"/>
      <c r="X162" s="136"/>
      <c r="Y162" s="136"/>
      <c r="Z162" s="136"/>
      <c r="AA162" s="136"/>
    </row>
    <row r="163" spans="3:27">
      <c r="C163" s="72"/>
      <c r="D163" s="72"/>
      <c r="E163" s="68"/>
      <c r="F163" s="130" t="s">
        <v>66</v>
      </c>
      <c r="G163" s="122"/>
      <c r="H163" s="122"/>
      <c r="I163" s="122"/>
      <c r="J163" s="122"/>
      <c r="K163" s="122"/>
      <c r="L163" s="178" t="str">
        <f>IF(L49=0,"",L49)</f>
        <v/>
      </c>
      <c r="M163" s="136"/>
      <c r="N163" s="136"/>
      <c r="O163" s="136"/>
      <c r="P163" s="136"/>
      <c r="Q163" s="136"/>
      <c r="R163" s="136"/>
      <c r="S163" s="136"/>
      <c r="T163" s="136"/>
      <c r="U163" s="136"/>
      <c r="V163" s="136"/>
      <c r="W163" s="136"/>
      <c r="X163" s="136"/>
      <c r="Y163" s="136"/>
      <c r="Z163" s="136"/>
      <c r="AA163" s="136"/>
    </row>
    <row r="164" spans="3:27">
      <c r="C164" s="72"/>
      <c r="D164" s="72"/>
      <c r="E164" s="68"/>
      <c r="F164" s="129" t="s">
        <v>641</v>
      </c>
      <c r="G164" s="118"/>
      <c r="H164" s="118"/>
      <c r="I164" s="118"/>
      <c r="J164" s="118"/>
      <c r="K164" s="118"/>
      <c r="L164" s="212" t="str">
        <f>IF(OR(L163="",L163=0),"","xvd"&amp;(LOWER(L163)))</f>
        <v/>
      </c>
      <c r="M164" s="136"/>
      <c r="N164" s="136"/>
      <c r="O164" s="136"/>
      <c r="P164" s="136"/>
      <c r="Q164" s="136"/>
      <c r="R164" s="136"/>
      <c r="S164" s="136"/>
      <c r="T164" s="136"/>
      <c r="U164" s="136"/>
      <c r="V164" s="136"/>
      <c r="W164" s="136"/>
      <c r="X164" s="136"/>
      <c r="Y164" s="136"/>
      <c r="Z164" s="136"/>
      <c r="AA164" s="136"/>
    </row>
    <row r="165" spans="3:27">
      <c r="C165" s="72"/>
      <c r="D165" s="72"/>
      <c r="E165" s="68"/>
      <c r="F165" s="129" t="s">
        <v>220</v>
      </c>
      <c r="G165" s="118"/>
      <c r="H165" s="118"/>
      <c r="I165" s="118"/>
      <c r="J165" s="118"/>
      <c r="K165" s="118"/>
      <c r="L165" s="213" t="str">
        <f>IF(L163="","",L50)</f>
        <v/>
      </c>
      <c r="M165" s="136"/>
      <c r="N165" s="136"/>
      <c r="O165" s="136"/>
      <c r="P165" s="136"/>
      <c r="Q165" s="136"/>
      <c r="R165" s="136"/>
      <c r="S165" s="136"/>
      <c r="T165" s="136"/>
      <c r="U165" s="136"/>
      <c r="V165" s="136"/>
      <c r="W165" s="136"/>
      <c r="X165" s="136"/>
      <c r="Y165" s="136"/>
      <c r="Z165" s="136"/>
      <c r="AA165" s="136"/>
    </row>
    <row r="166" spans="3:27">
      <c r="C166" s="72"/>
      <c r="D166" s="72"/>
      <c r="E166" s="68"/>
      <c r="F166" s="129" t="s">
        <v>70</v>
      </c>
      <c r="G166" s="118"/>
      <c r="H166" s="118"/>
      <c r="I166" s="118"/>
      <c r="J166" s="118"/>
      <c r="K166" s="118"/>
      <c r="L166" s="214" t="str">
        <f>IF(L163="","",L51)</f>
        <v/>
      </c>
      <c r="M166" s="136"/>
      <c r="N166" s="136"/>
      <c r="O166" s="136"/>
      <c r="P166" s="136"/>
      <c r="Q166" s="136"/>
      <c r="R166" s="136"/>
      <c r="S166" s="136"/>
      <c r="T166" s="136"/>
      <c r="U166" s="136"/>
      <c r="V166" s="136"/>
      <c r="W166" s="136"/>
      <c r="X166" s="136"/>
      <c r="Y166" s="136"/>
      <c r="Z166" s="136"/>
      <c r="AA166" s="136"/>
    </row>
    <row r="167" spans="3:27">
      <c r="C167" s="72"/>
      <c r="D167" s="72"/>
      <c r="E167" s="68"/>
      <c r="F167" s="129" t="s">
        <v>72</v>
      </c>
      <c r="G167" s="118"/>
      <c r="H167" s="118"/>
      <c r="I167" s="118"/>
      <c r="J167" s="118"/>
      <c r="K167" s="118"/>
      <c r="L167" s="214" t="str">
        <f>IF(L163="","",L52)</f>
        <v/>
      </c>
      <c r="M167" s="136"/>
      <c r="N167" s="136"/>
      <c r="O167" s="136"/>
      <c r="P167" s="136"/>
      <c r="Q167" s="136"/>
      <c r="R167" s="136"/>
      <c r="S167" s="136"/>
      <c r="T167" s="136"/>
      <c r="U167" s="136"/>
      <c r="V167" s="136"/>
      <c r="W167" s="136"/>
      <c r="X167" s="136"/>
      <c r="Y167" s="136"/>
      <c r="Z167" s="136"/>
      <c r="AA167" s="136"/>
    </row>
    <row r="168" spans="3:27">
      <c r="C168" s="72"/>
      <c r="D168" s="72"/>
      <c r="E168" s="72"/>
      <c r="F168" s="129" t="s">
        <v>73</v>
      </c>
      <c r="G168" s="118"/>
      <c r="H168" s="118"/>
      <c r="I168" s="118"/>
      <c r="J168" s="118"/>
      <c r="K168" s="118"/>
      <c r="L168" s="215" t="str">
        <f>IF(L163="","",L53)</f>
        <v/>
      </c>
      <c r="M168" s="136"/>
      <c r="N168" s="136"/>
      <c r="O168" s="136"/>
      <c r="P168" s="136"/>
      <c r="Q168" s="136"/>
      <c r="R168" s="136"/>
      <c r="S168" s="136"/>
      <c r="T168" s="136"/>
      <c r="U168" s="136"/>
      <c r="V168" s="136"/>
      <c r="W168" s="136"/>
      <c r="X168" s="136"/>
      <c r="Y168" s="136"/>
      <c r="Z168" s="136"/>
      <c r="AA168" s="136"/>
    </row>
    <row r="169" spans="3:27">
      <c r="C169" s="72"/>
      <c r="D169" s="72"/>
      <c r="E169" s="72"/>
      <c r="F169" s="129" t="s">
        <v>132</v>
      </c>
      <c r="G169" s="118"/>
      <c r="H169" s="118"/>
      <c r="I169" s="118"/>
      <c r="J169" s="118"/>
      <c r="K169" s="118"/>
      <c r="L169" s="215" t="str">
        <f>IF(L163="","","有効")</f>
        <v/>
      </c>
      <c r="M169" s="136"/>
      <c r="N169" s="136"/>
      <c r="O169" s="136"/>
      <c r="P169" s="136"/>
      <c r="Q169" s="136"/>
      <c r="R169" s="136"/>
      <c r="S169" s="136"/>
      <c r="T169" s="136"/>
      <c r="U169" s="136"/>
      <c r="V169" s="136"/>
      <c r="W169" s="136"/>
      <c r="X169" s="136"/>
      <c r="Y169" s="136"/>
      <c r="Z169" s="136"/>
      <c r="AA169" s="136"/>
    </row>
    <row r="170" spans="3:27">
      <c r="C170" s="72"/>
      <c r="D170" s="72"/>
      <c r="E170" s="72"/>
      <c r="F170" s="129" t="s">
        <v>642</v>
      </c>
      <c r="G170" s="118"/>
      <c r="H170" s="118"/>
      <c r="I170" s="118"/>
      <c r="J170" s="118"/>
      <c r="K170" s="118"/>
      <c r="L170" s="215" t="str">
        <f>IF(L163="","","aws/ebs")</f>
        <v/>
      </c>
      <c r="M170" s="136"/>
      <c r="N170" s="136"/>
      <c r="O170" s="136"/>
      <c r="P170" s="136"/>
      <c r="Q170" s="136"/>
      <c r="R170" s="136"/>
      <c r="S170" s="136"/>
      <c r="T170" s="136"/>
      <c r="U170" s="136"/>
      <c r="V170" s="136"/>
      <c r="W170" s="136"/>
      <c r="X170" s="136"/>
      <c r="Y170" s="136"/>
      <c r="Z170" s="136"/>
      <c r="AA170" s="136"/>
    </row>
    <row r="171" spans="3:27">
      <c r="C171" s="72"/>
      <c r="D171" s="72"/>
      <c r="E171" s="67" t="s">
        <v>81</v>
      </c>
      <c r="F171" s="114"/>
      <c r="G171" s="114"/>
      <c r="H171" s="114"/>
      <c r="I171" s="114"/>
      <c r="J171" s="114"/>
      <c r="K171" s="114"/>
      <c r="L171" s="180"/>
      <c r="M171" s="136"/>
      <c r="N171" s="136"/>
      <c r="O171" s="136"/>
      <c r="P171" s="136"/>
      <c r="Q171" s="136"/>
      <c r="R171" s="136"/>
      <c r="S171" s="136"/>
      <c r="T171" s="136"/>
      <c r="U171" s="136"/>
      <c r="V171" s="136"/>
      <c r="W171" s="136"/>
      <c r="X171" s="136"/>
      <c r="Y171" s="136"/>
      <c r="Z171" s="136"/>
      <c r="AA171" s="136"/>
    </row>
    <row r="172" spans="3:27">
      <c r="C172" s="72"/>
      <c r="D172" s="72"/>
      <c r="E172" s="68"/>
      <c r="F172" s="130" t="s">
        <v>66</v>
      </c>
      <c r="G172" s="122"/>
      <c r="H172" s="122"/>
      <c r="I172" s="122"/>
      <c r="J172" s="122"/>
      <c r="K172" s="122"/>
      <c r="L172" s="178" t="str">
        <f>IF(L55=0,"",L55)</f>
        <v/>
      </c>
      <c r="M172" s="136"/>
      <c r="N172" s="136"/>
      <c r="O172" s="136"/>
      <c r="P172" s="136"/>
      <c r="Q172" s="136"/>
      <c r="R172" s="136"/>
      <c r="S172" s="136"/>
      <c r="T172" s="136"/>
      <c r="U172" s="136"/>
      <c r="V172" s="136"/>
      <c r="W172" s="136"/>
      <c r="X172" s="136"/>
      <c r="Y172" s="136"/>
      <c r="Z172" s="136"/>
      <c r="AA172" s="136"/>
    </row>
    <row r="173" spans="3:27">
      <c r="C173" s="72"/>
      <c r="D173" s="72"/>
      <c r="E173" s="68"/>
      <c r="F173" s="129" t="s">
        <v>641</v>
      </c>
      <c r="G173" s="118"/>
      <c r="H173" s="118"/>
      <c r="I173" s="118"/>
      <c r="J173" s="118"/>
      <c r="K173" s="118"/>
      <c r="L173" s="212" t="str">
        <f>IF(OR(L172="",L172=0),"","xvd"&amp;(LOWER(L172)))</f>
        <v/>
      </c>
      <c r="M173" s="136"/>
      <c r="N173" s="136"/>
      <c r="O173" s="136"/>
      <c r="P173" s="136"/>
      <c r="Q173" s="136"/>
      <c r="R173" s="136"/>
      <c r="S173" s="136"/>
      <c r="T173" s="136"/>
      <c r="U173" s="136"/>
      <c r="V173" s="136"/>
      <c r="W173" s="136"/>
      <c r="X173" s="136"/>
      <c r="Y173" s="136"/>
      <c r="Z173" s="136"/>
      <c r="AA173" s="136"/>
    </row>
    <row r="174" spans="3:27">
      <c r="C174" s="72"/>
      <c r="D174" s="72"/>
      <c r="E174" s="68"/>
      <c r="F174" s="129" t="s">
        <v>220</v>
      </c>
      <c r="G174" s="118"/>
      <c r="H174" s="118"/>
      <c r="I174" s="118"/>
      <c r="J174" s="118"/>
      <c r="K174" s="118"/>
      <c r="L174" s="213" t="str">
        <f>IF(L172="","",L56)</f>
        <v/>
      </c>
      <c r="M174" s="136"/>
      <c r="N174" s="136"/>
      <c r="O174" s="136"/>
      <c r="P174" s="136"/>
      <c r="Q174" s="136"/>
      <c r="R174" s="136"/>
      <c r="S174" s="136"/>
      <c r="T174" s="136"/>
      <c r="U174" s="136"/>
      <c r="V174" s="136"/>
      <c r="W174" s="136"/>
      <c r="X174" s="136"/>
      <c r="Y174" s="136"/>
      <c r="Z174" s="136"/>
      <c r="AA174" s="136"/>
    </row>
    <row r="175" spans="3:27">
      <c r="C175" s="72"/>
      <c r="D175" s="72"/>
      <c r="E175" s="68"/>
      <c r="F175" s="129" t="s">
        <v>70</v>
      </c>
      <c r="G175" s="118"/>
      <c r="H175" s="118"/>
      <c r="I175" s="118"/>
      <c r="J175" s="118"/>
      <c r="K175" s="118"/>
      <c r="L175" s="214" t="str">
        <f>IF(L172="","",L57)</f>
        <v/>
      </c>
      <c r="M175" s="136"/>
      <c r="N175" s="136"/>
      <c r="O175" s="136"/>
      <c r="P175" s="136"/>
      <c r="Q175" s="136"/>
      <c r="R175" s="136"/>
      <c r="S175" s="136"/>
      <c r="T175" s="136"/>
      <c r="U175" s="136"/>
      <c r="V175" s="136"/>
      <c r="W175" s="136"/>
      <c r="X175" s="136"/>
      <c r="Y175" s="136"/>
      <c r="Z175" s="136"/>
      <c r="AA175" s="136"/>
    </row>
    <row r="176" spans="3:27">
      <c r="C176" s="72"/>
      <c r="D176" s="72"/>
      <c r="E176" s="68"/>
      <c r="F176" s="129" t="s">
        <v>72</v>
      </c>
      <c r="G176" s="118"/>
      <c r="H176" s="118"/>
      <c r="I176" s="118"/>
      <c r="J176" s="118"/>
      <c r="K176" s="118"/>
      <c r="L176" s="214" t="str">
        <f>IF(L172="","",L58)</f>
        <v/>
      </c>
      <c r="M176" s="136"/>
      <c r="N176" s="136"/>
      <c r="O176" s="136"/>
      <c r="P176" s="136"/>
      <c r="Q176" s="136"/>
      <c r="R176" s="136"/>
      <c r="S176" s="136"/>
      <c r="T176" s="136"/>
      <c r="U176" s="136"/>
      <c r="V176" s="136"/>
      <c r="W176" s="136"/>
      <c r="X176" s="136"/>
      <c r="Y176" s="136"/>
      <c r="Z176" s="136"/>
      <c r="AA176" s="136"/>
    </row>
    <row r="177" spans="3:27">
      <c r="C177" s="72"/>
      <c r="D177" s="72"/>
      <c r="E177" s="72"/>
      <c r="F177" s="129" t="s">
        <v>73</v>
      </c>
      <c r="G177" s="118"/>
      <c r="H177" s="118"/>
      <c r="I177" s="118"/>
      <c r="J177" s="118"/>
      <c r="K177" s="118"/>
      <c r="L177" s="215" t="str">
        <f>IF(L172="","",L59)</f>
        <v/>
      </c>
      <c r="M177" s="136"/>
      <c r="N177" s="136"/>
      <c r="O177" s="136"/>
      <c r="P177" s="136"/>
      <c r="Q177" s="136"/>
      <c r="R177" s="136"/>
      <c r="S177" s="136"/>
      <c r="T177" s="136"/>
      <c r="U177" s="136"/>
      <c r="V177" s="136"/>
      <c r="W177" s="136"/>
      <c r="X177" s="136"/>
      <c r="Y177" s="136"/>
      <c r="Z177" s="136"/>
      <c r="AA177" s="136"/>
    </row>
    <row r="178" spans="3:27">
      <c r="C178" s="72"/>
      <c r="D178" s="72"/>
      <c r="E178" s="72"/>
      <c r="F178" s="129" t="s">
        <v>132</v>
      </c>
      <c r="G178" s="118"/>
      <c r="H178" s="118"/>
      <c r="I178" s="118"/>
      <c r="J178" s="118"/>
      <c r="K178" s="118"/>
      <c r="L178" s="215" t="str">
        <f>IF(L172="","","有効")</f>
        <v/>
      </c>
      <c r="M178" s="136"/>
      <c r="N178" s="136"/>
      <c r="O178" s="136"/>
      <c r="P178" s="136"/>
      <c r="Q178" s="136"/>
      <c r="R178" s="136"/>
      <c r="S178" s="136"/>
      <c r="T178" s="136"/>
      <c r="U178" s="136"/>
      <c r="V178" s="136"/>
      <c r="W178" s="136"/>
      <c r="X178" s="136"/>
      <c r="Y178" s="136"/>
      <c r="Z178" s="136"/>
      <c r="AA178" s="136"/>
    </row>
    <row r="179" spans="3:27">
      <c r="C179" s="72"/>
      <c r="D179" s="72"/>
      <c r="E179" s="72"/>
      <c r="F179" s="129" t="s">
        <v>642</v>
      </c>
      <c r="G179" s="118"/>
      <c r="H179" s="118"/>
      <c r="I179" s="118"/>
      <c r="J179" s="118"/>
      <c r="K179" s="118"/>
      <c r="L179" s="215" t="str">
        <f>IF(L172="","","aws/ebs")</f>
        <v/>
      </c>
      <c r="M179" s="136"/>
      <c r="N179" s="136"/>
      <c r="O179" s="136"/>
      <c r="P179" s="136"/>
      <c r="Q179" s="136"/>
      <c r="R179" s="136"/>
      <c r="S179" s="136"/>
      <c r="T179" s="136"/>
      <c r="U179" s="136"/>
      <c r="V179" s="136"/>
      <c r="W179" s="136"/>
      <c r="X179" s="136"/>
      <c r="Y179" s="136"/>
      <c r="Z179" s="136"/>
      <c r="AA179" s="136"/>
    </row>
    <row r="180" spans="3:27">
      <c r="C180" s="72"/>
      <c r="D180" s="72"/>
      <c r="E180" s="67" t="s">
        <v>82</v>
      </c>
      <c r="F180" s="114"/>
      <c r="G180" s="114"/>
      <c r="H180" s="114"/>
      <c r="I180" s="114"/>
      <c r="J180" s="114"/>
      <c r="K180" s="114"/>
      <c r="L180" s="180"/>
      <c r="M180" s="136"/>
      <c r="N180" s="136"/>
      <c r="O180" s="136"/>
      <c r="P180" s="136"/>
      <c r="Q180" s="136"/>
      <c r="R180" s="136"/>
      <c r="S180" s="136"/>
      <c r="T180" s="136"/>
      <c r="U180" s="136"/>
      <c r="V180" s="136"/>
      <c r="W180" s="136"/>
      <c r="X180" s="136"/>
      <c r="Y180" s="136"/>
      <c r="Z180" s="136"/>
      <c r="AA180" s="136"/>
    </row>
    <row r="181" spans="3:27">
      <c r="C181" s="72"/>
      <c r="D181" s="72"/>
      <c r="E181" s="68"/>
      <c r="F181" s="130" t="s">
        <v>66</v>
      </c>
      <c r="G181" s="122"/>
      <c r="H181" s="122"/>
      <c r="I181" s="122"/>
      <c r="J181" s="122"/>
      <c r="K181" s="122"/>
      <c r="L181" s="178" t="str">
        <f>IF(L61=0,"",L61)</f>
        <v/>
      </c>
      <c r="M181" s="136"/>
      <c r="N181" s="136"/>
      <c r="O181" s="136"/>
      <c r="P181" s="136"/>
      <c r="Q181" s="136"/>
      <c r="R181" s="136"/>
      <c r="S181" s="136"/>
      <c r="T181" s="136"/>
      <c r="U181" s="136"/>
      <c r="V181" s="136"/>
      <c r="W181" s="136"/>
      <c r="X181" s="136"/>
      <c r="Y181" s="136"/>
      <c r="Z181" s="136"/>
      <c r="AA181" s="136"/>
    </row>
    <row r="182" spans="3:27">
      <c r="C182" s="72"/>
      <c r="D182" s="72"/>
      <c r="E182" s="68"/>
      <c r="F182" s="129" t="s">
        <v>641</v>
      </c>
      <c r="G182" s="118"/>
      <c r="H182" s="118"/>
      <c r="I182" s="118"/>
      <c r="J182" s="118"/>
      <c r="K182" s="118"/>
      <c r="L182" s="212" t="str">
        <f>IF(OR(L181="",L181=0),"","xvd"&amp;(LOWER(L181)))</f>
        <v/>
      </c>
      <c r="M182" s="136"/>
      <c r="N182" s="136"/>
      <c r="O182" s="136"/>
      <c r="P182" s="136"/>
      <c r="Q182" s="136"/>
      <c r="R182" s="136"/>
      <c r="S182" s="136"/>
      <c r="T182" s="136"/>
      <c r="U182" s="136"/>
      <c r="V182" s="136"/>
      <c r="W182" s="136"/>
      <c r="X182" s="136"/>
      <c r="Y182" s="136"/>
      <c r="Z182" s="136"/>
      <c r="AA182" s="136"/>
    </row>
    <row r="183" spans="3:27">
      <c r="C183" s="72"/>
      <c r="D183" s="72"/>
      <c r="E183" s="68"/>
      <c r="F183" s="129" t="s">
        <v>220</v>
      </c>
      <c r="G183" s="118"/>
      <c r="H183" s="118"/>
      <c r="I183" s="118"/>
      <c r="J183" s="118"/>
      <c r="K183" s="118"/>
      <c r="L183" s="213" t="str">
        <f>IF(L181="","",L62)</f>
        <v/>
      </c>
      <c r="M183" s="136"/>
      <c r="N183" s="136"/>
      <c r="O183" s="136"/>
      <c r="P183" s="136"/>
      <c r="Q183" s="136"/>
      <c r="R183" s="136"/>
      <c r="S183" s="136"/>
      <c r="T183" s="136"/>
      <c r="U183" s="136"/>
      <c r="V183" s="136"/>
      <c r="W183" s="136"/>
      <c r="X183" s="136"/>
      <c r="Y183" s="136"/>
      <c r="Z183" s="136"/>
      <c r="AA183" s="136"/>
    </row>
    <row r="184" spans="3:27">
      <c r="C184" s="72"/>
      <c r="D184" s="72"/>
      <c r="E184" s="68"/>
      <c r="F184" s="129" t="s">
        <v>70</v>
      </c>
      <c r="G184" s="118"/>
      <c r="H184" s="118"/>
      <c r="I184" s="118"/>
      <c r="J184" s="118"/>
      <c r="K184" s="118"/>
      <c r="L184" s="214" t="str">
        <f>IF(L181="","",L63)</f>
        <v/>
      </c>
      <c r="M184" s="136"/>
      <c r="N184" s="136"/>
      <c r="O184" s="136"/>
      <c r="P184" s="136"/>
      <c r="Q184" s="136"/>
      <c r="R184" s="136"/>
      <c r="S184" s="136"/>
      <c r="T184" s="136"/>
      <c r="U184" s="136"/>
      <c r="V184" s="136"/>
      <c r="W184" s="136"/>
      <c r="X184" s="136"/>
      <c r="Y184" s="136"/>
      <c r="Z184" s="136"/>
      <c r="AA184" s="136"/>
    </row>
    <row r="185" spans="3:27">
      <c r="C185" s="72"/>
      <c r="D185" s="72"/>
      <c r="E185" s="68"/>
      <c r="F185" s="129" t="s">
        <v>72</v>
      </c>
      <c r="G185" s="118"/>
      <c r="H185" s="118"/>
      <c r="I185" s="118"/>
      <c r="J185" s="118"/>
      <c r="K185" s="118"/>
      <c r="L185" s="214" t="str">
        <f>IF(L181="","",L64)</f>
        <v/>
      </c>
      <c r="M185" s="136"/>
      <c r="N185" s="136"/>
      <c r="O185" s="136"/>
      <c r="P185" s="136"/>
      <c r="Q185" s="136"/>
      <c r="R185" s="136"/>
      <c r="S185" s="136"/>
      <c r="T185" s="136"/>
      <c r="U185" s="136"/>
      <c r="V185" s="136"/>
      <c r="W185" s="136"/>
      <c r="X185" s="136"/>
      <c r="Y185" s="136"/>
      <c r="Z185" s="136"/>
      <c r="AA185" s="136"/>
    </row>
    <row r="186" spans="3:27">
      <c r="C186" s="72"/>
      <c r="D186" s="72"/>
      <c r="E186" s="72"/>
      <c r="F186" s="129" t="s">
        <v>73</v>
      </c>
      <c r="G186" s="118"/>
      <c r="H186" s="118"/>
      <c r="I186" s="118"/>
      <c r="J186" s="118"/>
      <c r="K186" s="118"/>
      <c r="L186" s="215" t="str">
        <f>IF(L181="","",L65)</f>
        <v/>
      </c>
      <c r="M186" s="136"/>
      <c r="N186" s="136"/>
      <c r="O186" s="136"/>
      <c r="P186" s="136"/>
      <c r="Q186" s="136"/>
      <c r="R186" s="136"/>
      <c r="S186" s="136"/>
      <c r="T186" s="136"/>
      <c r="U186" s="136"/>
      <c r="V186" s="136"/>
      <c r="W186" s="136"/>
      <c r="X186" s="136"/>
      <c r="Y186" s="136"/>
      <c r="Z186" s="136"/>
      <c r="AA186" s="136"/>
    </row>
    <row r="187" spans="3:27">
      <c r="C187" s="72"/>
      <c r="D187" s="72"/>
      <c r="E187" s="72"/>
      <c r="F187" s="129" t="s">
        <v>132</v>
      </c>
      <c r="G187" s="118"/>
      <c r="H187" s="118"/>
      <c r="I187" s="118"/>
      <c r="J187" s="118"/>
      <c r="K187" s="118"/>
      <c r="L187" s="215" t="str">
        <f>IF(L181="","","有効")</f>
        <v/>
      </c>
      <c r="M187" s="136"/>
      <c r="N187" s="136"/>
      <c r="O187" s="136"/>
      <c r="P187" s="136"/>
      <c r="Q187" s="136"/>
      <c r="R187" s="136"/>
      <c r="S187" s="136"/>
      <c r="T187" s="136"/>
      <c r="U187" s="136"/>
      <c r="V187" s="136"/>
      <c r="W187" s="136"/>
      <c r="X187" s="136"/>
      <c r="Y187" s="136"/>
      <c r="Z187" s="136"/>
      <c r="AA187" s="136"/>
    </row>
    <row r="188" spans="3:27">
      <c r="C188" s="72"/>
      <c r="D188" s="72"/>
      <c r="E188" s="72"/>
      <c r="F188" s="129" t="s">
        <v>642</v>
      </c>
      <c r="G188" s="118"/>
      <c r="H188" s="118"/>
      <c r="I188" s="118"/>
      <c r="J188" s="118"/>
      <c r="K188" s="118"/>
      <c r="L188" s="215" t="str">
        <f>IF(L181="","","aws/ebs")</f>
        <v/>
      </c>
      <c r="M188" s="136"/>
      <c r="N188" s="136"/>
      <c r="O188" s="136"/>
      <c r="P188" s="136"/>
      <c r="Q188" s="136"/>
      <c r="R188" s="136"/>
      <c r="S188" s="136"/>
      <c r="T188" s="136"/>
      <c r="U188" s="136"/>
      <c r="V188" s="136"/>
      <c r="W188" s="136"/>
      <c r="X188" s="136"/>
      <c r="Y188" s="136"/>
      <c r="Z188" s="136"/>
      <c r="AA188" s="136"/>
    </row>
    <row r="189" spans="3:27">
      <c r="C189" s="72"/>
      <c r="D189" s="72"/>
      <c r="E189" s="67" t="s">
        <v>83</v>
      </c>
      <c r="F189" s="114"/>
      <c r="G189" s="114"/>
      <c r="H189" s="114"/>
      <c r="I189" s="114"/>
      <c r="J189" s="114"/>
      <c r="K189" s="114"/>
      <c r="L189" s="180"/>
      <c r="M189" s="136"/>
      <c r="N189" s="136"/>
      <c r="O189" s="136"/>
      <c r="P189" s="136"/>
      <c r="Q189" s="136"/>
      <c r="R189" s="136"/>
      <c r="S189" s="136"/>
      <c r="T189" s="136"/>
      <c r="U189" s="136"/>
      <c r="V189" s="136"/>
      <c r="W189" s="136"/>
      <c r="X189" s="136"/>
      <c r="Y189" s="136"/>
      <c r="Z189" s="136"/>
      <c r="AA189" s="136"/>
    </row>
    <row r="190" spans="3:27">
      <c r="C190" s="72"/>
      <c r="D190" s="72"/>
      <c r="E190" s="68"/>
      <c r="F190" s="130" t="s">
        <v>66</v>
      </c>
      <c r="G190" s="122"/>
      <c r="H190" s="122"/>
      <c r="I190" s="122"/>
      <c r="J190" s="122"/>
      <c r="K190" s="122"/>
      <c r="L190" s="178" t="str">
        <f>IF(L67=0,"",L67)</f>
        <v/>
      </c>
      <c r="M190" s="136"/>
      <c r="N190" s="136"/>
      <c r="O190" s="136"/>
      <c r="P190" s="136"/>
      <c r="Q190" s="136"/>
      <c r="R190" s="136"/>
      <c r="S190" s="136"/>
      <c r="T190" s="136"/>
      <c r="U190" s="136"/>
      <c r="V190" s="136"/>
      <c r="W190" s="136"/>
      <c r="X190" s="136"/>
      <c r="Y190" s="136"/>
      <c r="Z190" s="136"/>
      <c r="AA190" s="136"/>
    </row>
    <row r="191" spans="3:27">
      <c r="C191" s="72"/>
      <c r="D191" s="72"/>
      <c r="E191" s="68"/>
      <c r="F191" s="129" t="s">
        <v>641</v>
      </c>
      <c r="G191" s="118"/>
      <c r="H191" s="118"/>
      <c r="I191" s="118"/>
      <c r="J191" s="118"/>
      <c r="K191" s="118"/>
      <c r="L191" s="212" t="str">
        <f>IF(OR(L190="",L190=0),"","xvd"&amp;(LOWER(L190)))</f>
        <v/>
      </c>
      <c r="M191" s="136"/>
      <c r="N191" s="136"/>
      <c r="O191" s="136"/>
      <c r="P191" s="136"/>
      <c r="Q191" s="136"/>
      <c r="R191" s="136"/>
      <c r="S191" s="136"/>
      <c r="T191" s="136"/>
      <c r="U191" s="136"/>
      <c r="V191" s="136"/>
      <c r="W191" s="136"/>
      <c r="X191" s="136"/>
      <c r="Y191" s="136"/>
      <c r="Z191" s="136"/>
      <c r="AA191" s="136"/>
    </row>
    <row r="192" spans="3:27">
      <c r="C192" s="72"/>
      <c r="D192" s="72"/>
      <c r="E192" s="68"/>
      <c r="F192" s="129" t="s">
        <v>220</v>
      </c>
      <c r="G192" s="118"/>
      <c r="H192" s="118"/>
      <c r="I192" s="118"/>
      <c r="J192" s="118"/>
      <c r="K192" s="118"/>
      <c r="L192" s="213" t="str">
        <f>IF(L190="","",L68)</f>
        <v/>
      </c>
      <c r="M192" s="136"/>
      <c r="N192" s="136"/>
      <c r="O192" s="136"/>
      <c r="P192" s="136"/>
      <c r="Q192" s="136"/>
      <c r="R192" s="136"/>
      <c r="S192" s="136"/>
      <c r="T192" s="136"/>
      <c r="U192" s="136"/>
      <c r="V192" s="136"/>
      <c r="W192" s="136"/>
      <c r="X192" s="136"/>
      <c r="Y192" s="136"/>
      <c r="Z192" s="136"/>
      <c r="AA192" s="136"/>
    </row>
    <row r="193" spans="3:27">
      <c r="C193" s="72"/>
      <c r="D193" s="72"/>
      <c r="E193" s="68"/>
      <c r="F193" s="129" t="s">
        <v>70</v>
      </c>
      <c r="G193" s="118"/>
      <c r="H193" s="118"/>
      <c r="I193" s="118"/>
      <c r="J193" s="118"/>
      <c r="K193" s="118"/>
      <c r="L193" s="214" t="str">
        <f>IF(L190="","",L69)</f>
        <v/>
      </c>
      <c r="M193" s="136"/>
      <c r="N193" s="136"/>
      <c r="O193" s="136"/>
      <c r="P193" s="136"/>
      <c r="Q193" s="136"/>
      <c r="R193" s="136"/>
      <c r="S193" s="136"/>
      <c r="T193" s="136"/>
      <c r="U193" s="136"/>
      <c r="V193" s="136"/>
      <c r="W193" s="136"/>
      <c r="X193" s="136"/>
      <c r="Y193" s="136"/>
      <c r="Z193" s="136"/>
      <c r="AA193" s="136"/>
    </row>
    <row r="194" spans="3:27">
      <c r="C194" s="72"/>
      <c r="D194" s="72"/>
      <c r="E194" s="68"/>
      <c r="F194" s="129" t="s">
        <v>72</v>
      </c>
      <c r="G194" s="118"/>
      <c r="H194" s="118"/>
      <c r="I194" s="118"/>
      <c r="J194" s="118"/>
      <c r="K194" s="118"/>
      <c r="L194" s="214" t="str">
        <f>IF(L190="","",L70)</f>
        <v/>
      </c>
      <c r="M194" s="136"/>
      <c r="N194" s="136"/>
      <c r="O194" s="136"/>
      <c r="P194" s="136"/>
      <c r="Q194" s="136"/>
      <c r="R194" s="136"/>
      <c r="S194" s="136"/>
      <c r="T194" s="136"/>
      <c r="U194" s="136"/>
      <c r="V194" s="136"/>
      <c r="W194" s="136"/>
      <c r="X194" s="136"/>
      <c r="Y194" s="136"/>
      <c r="Z194" s="136"/>
      <c r="AA194" s="136"/>
    </row>
    <row r="195" spans="3:27">
      <c r="C195" s="72"/>
      <c r="D195" s="72"/>
      <c r="E195" s="72"/>
      <c r="F195" s="129" t="s">
        <v>73</v>
      </c>
      <c r="G195" s="118"/>
      <c r="H195" s="118"/>
      <c r="I195" s="118"/>
      <c r="J195" s="118"/>
      <c r="K195" s="118"/>
      <c r="L195" s="215" t="str">
        <f>IF(L190="","",L71)</f>
        <v/>
      </c>
      <c r="M195" s="136"/>
      <c r="N195" s="136"/>
      <c r="O195" s="136"/>
      <c r="P195" s="136"/>
      <c r="Q195" s="136"/>
      <c r="R195" s="136"/>
      <c r="S195" s="136"/>
      <c r="T195" s="136"/>
      <c r="U195" s="136"/>
      <c r="V195" s="136"/>
      <c r="W195" s="136"/>
      <c r="X195" s="136"/>
      <c r="Y195" s="136"/>
      <c r="Z195" s="136"/>
      <c r="AA195" s="136"/>
    </row>
    <row r="196" spans="3:27">
      <c r="C196" s="72"/>
      <c r="D196" s="72"/>
      <c r="E196" s="72"/>
      <c r="F196" s="129" t="s">
        <v>132</v>
      </c>
      <c r="G196" s="118"/>
      <c r="H196" s="118"/>
      <c r="I196" s="118"/>
      <c r="J196" s="118"/>
      <c r="K196" s="118"/>
      <c r="L196" s="215" t="str">
        <f>IF(L190="","","有効")</f>
        <v/>
      </c>
      <c r="M196" s="136"/>
      <c r="N196" s="136"/>
      <c r="O196" s="136"/>
      <c r="P196" s="136"/>
      <c r="Q196" s="136"/>
      <c r="R196" s="136"/>
      <c r="S196" s="136"/>
      <c r="T196" s="136"/>
      <c r="U196" s="136"/>
      <c r="V196" s="136"/>
      <c r="W196" s="136"/>
      <c r="X196" s="136"/>
      <c r="Y196" s="136"/>
      <c r="Z196" s="136"/>
      <c r="AA196" s="136"/>
    </row>
    <row r="197" spans="3:27">
      <c r="C197" s="72"/>
      <c r="D197" s="72"/>
      <c r="E197" s="72"/>
      <c r="F197" s="129" t="s">
        <v>642</v>
      </c>
      <c r="G197" s="118"/>
      <c r="H197" s="118"/>
      <c r="I197" s="118"/>
      <c r="J197" s="118"/>
      <c r="K197" s="118"/>
      <c r="L197" s="215" t="str">
        <f>IF(L190="","","aws/ebs")</f>
        <v/>
      </c>
      <c r="M197" s="136"/>
      <c r="N197" s="136"/>
      <c r="O197" s="136"/>
      <c r="P197" s="136"/>
      <c r="Q197" s="136"/>
      <c r="R197" s="136"/>
      <c r="S197" s="136"/>
      <c r="T197" s="136"/>
      <c r="U197" s="136"/>
      <c r="V197" s="136"/>
      <c r="W197" s="136"/>
      <c r="X197" s="136"/>
      <c r="Y197" s="136"/>
      <c r="Z197" s="136"/>
      <c r="AA197" s="136"/>
    </row>
    <row r="198" spans="3:27">
      <c r="C198" s="72"/>
      <c r="D198" s="72"/>
      <c r="E198" s="67" t="s">
        <v>84</v>
      </c>
      <c r="F198" s="114"/>
      <c r="G198" s="114"/>
      <c r="H198" s="114"/>
      <c r="I198" s="114"/>
      <c r="J198" s="114"/>
      <c r="K198" s="114"/>
      <c r="L198" s="180"/>
      <c r="M198" s="136"/>
      <c r="N198" s="136"/>
      <c r="O198" s="136"/>
      <c r="P198" s="136"/>
      <c r="Q198" s="136"/>
      <c r="R198" s="136"/>
      <c r="S198" s="136"/>
      <c r="T198" s="136"/>
      <c r="U198" s="136"/>
      <c r="V198" s="136"/>
      <c r="W198" s="136"/>
      <c r="X198" s="136"/>
      <c r="Y198" s="136"/>
      <c r="Z198" s="136"/>
      <c r="AA198" s="136"/>
    </row>
    <row r="199" spans="3:27">
      <c r="C199" s="72"/>
      <c r="D199" s="72"/>
      <c r="E199" s="68"/>
      <c r="F199" s="130" t="s">
        <v>66</v>
      </c>
      <c r="G199" s="122"/>
      <c r="H199" s="122"/>
      <c r="I199" s="122"/>
      <c r="J199" s="122"/>
      <c r="K199" s="122"/>
      <c r="L199" s="178" t="str">
        <f>IF(L73=0,"",L73)</f>
        <v/>
      </c>
      <c r="M199" s="136"/>
      <c r="N199" s="136"/>
      <c r="O199" s="136"/>
      <c r="P199" s="136"/>
      <c r="Q199" s="136"/>
      <c r="R199" s="136"/>
      <c r="S199" s="136"/>
      <c r="T199" s="136"/>
      <c r="U199" s="136"/>
      <c r="V199" s="136"/>
      <c r="W199" s="136"/>
      <c r="X199" s="136"/>
      <c r="Y199" s="136"/>
      <c r="Z199" s="136"/>
      <c r="AA199" s="136"/>
    </row>
    <row r="200" spans="3:27">
      <c r="C200" s="72"/>
      <c r="D200" s="72"/>
      <c r="E200" s="68"/>
      <c r="F200" s="129" t="s">
        <v>641</v>
      </c>
      <c r="G200" s="118"/>
      <c r="H200" s="118"/>
      <c r="I200" s="118"/>
      <c r="J200" s="118"/>
      <c r="K200" s="118"/>
      <c r="L200" s="212" t="str">
        <f>IF(OR(L199="",L199=0),"","xvd"&amp;(LOWER(L199)))</f>
        <v/>
      </c>
      <c r="M200" s="136"/>
      <c r="N200" s="136"/>
      <c r="O200" s="136"/>
      <c r="P200" s="136"/>
      <c r="Q200" s="136"/>
      <c r="R200" s="136"/>
      <c r="S200" s="136"/>
      <c r="T200" s="136"/>
      <c r="U200" s="136"/>
      <c r="V200" s="136"/>
      <c r="W200" s="136"/>
      <c r="X200" s="136"/>
      <c r="Y200" s="136"/>
      <c r="Z200" s="136"/>
      <c r="AA200" s="136"/>
    </row>
    <row r="201" spans="3:27">
      <c r="C201" s="72"/>
      <c r="D201" s="72"/>
      <c r="E201" s="68"/>
      <c r="F201" s="129" t="s">
        <v>220</v>
      </c>
      <c r="G201" s="118"/>
      <c r="H201" s="118"/>
      <c r="I201" s="118"/>
      <c r="J201" s="118"/>
      <c r="K201" s="118"/>
      <c r="L201" s="213" t="str">
        <f>IF(L199="","",L74)</f>
        <v/>
      </c>
      <c r="M201" s="136"/>
      <c r="N201" s="136"/>
      <c r="O201" s="136"/>
      <c r="P201" s="136"/>
      <c r="Q201" s="136"/>
      <c r="R201" s="136"/>
      <c r="S201" s="136"/>
      <c r="T201" s="136"/>
      <c r="U201" s="136"/>
      <c r="V201" s="136"/>
      <c r="W201" s="136"/>
      <c r="X201" s="136"/>
      <c r="Y201" s="136"/>
      <c r="Z201" s="136"/>
      <c r="AA201" s="136"/>
    </row>
    <row r="202" spans="3:27">
      <c r="C202" s="72"/>
      <c r="D202" s="72"/>
      <c r="E202" s="68"/>
      <c r="F202" s="129" t="s">
        <v>70</v>
      </c>
      <c r="G202" s="118"/>
      <c r="H202" s="118"/>
      <c r="I202" s="118"/>
      <c r="J202" s="118"/>
      <c r="K202" s="118"/>
      <c r="L202" s="214" t="str">
        <f>IF(L199="","",L75)</f>
        <v/>
      </c>
      <c r="M202" s="136"/>
      <c r="N202" s="136"/>
      <c r="O202" s="136"/>
      <c r="P202" s="136"/>
      <c r="Q202" s="136"/>
      <c r="R202" s="136"/>
      <c r="S202" s="136"/>
      <c r="T202" s="136"/>
      <c r="U202" s="136"/>
      <c r="V202" s="136"/>
      <c r="W202" s="136"/>
      <c r="X202" s="136"/>
      <c r="Y202" s="136"/>
      <c r="Z202" s="136"/>
      <c r="AA202" s="136"/>
    </row>
    <row r="203" spans="3:27">
      <c r="C203" s="72"/>
      <c r="D203" s="72"/>
      <c r="E203" s="68"/>
      <c r="F203" s="129" t="s">
        <v>72</v>
      </c>
      <c r="G203" s="118"/>
      <c r="H203" s="118"/>
      <c r="I203" s="118"/>
      <c r="J203" s="118"/>
      <c r="K203" s="118"/>
      <c r="L203" s="214" t="str">
        <f>IF(L199="","",L76)</f>
        <v/>
      </c>
      <c r="M203" s="136"/>
      <c r="N203" s="136"/>
      <c r="O203" s="136"/>
      <c r="P203" s="136"/>
      <c r="Q203" s="136"/>
      <c r="R203" s="136"/>
      <c r="S203" s="136"/>
      <c r="T203" s="136"/>
      <c r="U203" s="136"/>
      <c r="V203" s="136"/>
      <c r="W203" s="136"/>
      <c r="X203" s="136"/>
      <c r="Y203" s="136"/>
      <c r="Z203" s="136"/>
      <c r="AA203" s="136"/>
    </row>
    <row r="204" spans="3:27">
      <c r="C204" s="72"/>
      <c r="D204" s="72"/>
      <c r="E204" s="72"/>
      <c r="F204" s="129" t="s">
        <v>73</v>
      </c>
      <c r="G204" s="118"/>
      <c r="H204" s="118"/>
      <c r="I204" s="118"/>
      <c r="J204" s="118"/>
      <c r="K204" s="118"/>
      <c r="L204" s="215" t="str">
        <f>IF(L199="","",L77)</f>
        <v/>
      </c>
      <c r="M204" s="136"/>
      <c r="N204" s="136"/>
      <c r="O204" s="136"/>
      <c r="P204" s="136"/>
      <c r="Q204" s="136"/>
      <c r="R204" s="136"/>
      <c r="S204" s="136"/>
      <c r="T204" s="136"/>
      <c r="U204" s="136"/>
      <c r="V204" s="136"/>
      <c r="W204" s="136"/>
      <c r="X204" s="136"/>
      <c r="Y204" s="136"/>
      <c r="Z204" s="136"/>
      <c r="AA204" s="136"/>
    </row>
    <row r="205" spans="3:27">
      <c r="C205" s="72"/>
      <c r="D205" s="72"/>
      <c r="E205" s="72"/>
      <c r="F205" s="129" t="s">
        <v>132</v>
      </c>
      <c r="G205" s="118"/>
      <c r="H205" s="118"/>
      <c r="I205" s="118"/>
      <c r="J205" s="118"/>
      <c r="K205" s="118"/>
      <c r="L205" s="215" t="str">
        <f>IF(L199="","","有効")</f>
        <v/>
      </c>
      <c r="M205" s="136"/>
      <c r="N205" s="136"/>
      <c r="O205" s="136"/>
      <c r="P205" s="136"/>
      <c r="Q205" s="136"/>
      <c r="R205" s="136"/>
      <c r="S205" s="136"/>
      <c r="T205" s="136"/>
      <c r="U205" s="136"/>
      <c r="V205" s="136"/>
      <c r="W205" s="136"/>
      <c r="X205" s="136"/>
      <c r="Y205" s="136"/>
      <c r="Z205" s="136"/>
      <c r="AA205" s="136"/>
    </row>
    <row r="206" spans="3:27">
      <c r="C206" s="72"/>
      <c r="D206" s="72"/>
      <c r="E206" s="72"/>
      <c r="F206" s="129" t="s">
        <v>642</v>
      </c>
      <c r="G206" s="118"/>
      <c r="H206" s="118"/>
      <c r="I206" s="118"/>
      <c r="J206" s="118"/>
      <c r="K206" s="118"/>
      <c r="L206" s="215" t="str">
        <f>IF(L199="","","aws/ebs")</f>
        <v/>
      </c>
      <c r="M206" s="136"/>
      <c r="N206" s="136"/>
      <c r="O206" s="136"/>
      <c r="P206" s="136"/>
      <c r="Q206" s="136"/>
      <c r="R206" s="136"/>
      <c r="S206" s="136"/>
      <c r="T206" s="136"/>
      <c r="U206" s="136"/>
      <c r="V206" s="136"/>
      <c r="W206" s="136"/>
      <c r="X206" s="136"/>
      <c r="Y206" s="136"/>
      <c r="Z206" s="136"/>
      <c r="AA206" s="136"/>
    </row>
    <row r="207" spans="3:27">
      <c r="C207" s="72"/>
      <c r="D207" s="72"/>
      <c r="E207" s="67" t="s">
        <v>85</v>
      </c>
      <c r="F207" s="114"/>
      <c r="G207" s="114"/>
      <c r="H207" s="114"/>
      <c r="I207" s="114"/>
      <c r="J207" s="114"/>
      <c r="K207" s="114"/>
      <c r="L207" s="180"/>
      <c r="M207" s="136"/>
      <c r="N207" s="136"/>
      <c r="O207" s="136"/>
      <c r="P207" s="136"/>
      <c r="Q207" s="136"/>
      <c r="R207" s="136"/>
      <c r="S207" s="136"/>
      <c r="T207" s="136"/>
      <c r="U207" s="136"/>
      <c r="V207" s="136"/>
      <c r="W207" s="136"/>
      <c r="X207" s="136"/>
      <c r="Y207" s="136"/>
      <c r="Z207" s="136"/>
      <c r="AA207" s="136"/>
    </row>
    <row r="208" spans="3:27">
      <c r="C208" s="72"/>
      <c r="D208" s="72"/>
      <c r="E208" s="68"/>
      <c r="F208" s="130" t="s">
        <v>66</v>
      </c>
      <c r="G208" s="122"/>
      <c r="H208" s="122"/>
      <c r="I208" s="122"/>
      <c r="J208" s="122"/>
      <c r="K208" s="122"/>
      <c r="L208" s="178" t="str">
        <f>IF(L79=0,"",L79)</f>
        <v/>
      </c>
      <c r="M208" s="136"/>
      <c r="N208" s="136"/>
      <c r="O208" s="136"/>
      <c r="P208" s="136"/>
      <c r="Q208" s="136"/>
      <c r="R208" s="136"/>
      <c r="S208" s="136"/>
      <c r="T208" s="136"/>
      <c r="U208" s="136"/>
      <c r="V208" s="136"/>
      <c r="W208" s="136"/>
      <c r="X208" s="136"/>
      <c r="Y208" s="136"/>
      <c r="Z208" s="136"/>
      <c r="AA208" s="136"/>
    </row>
    <row r="209" spans="3:27">
      <c r="C209" s="72"/>
      <c r="D209" s="72"/>
      <c r="E209" s="68"/>
      <c r="F209" s="129" t="s">
        <v>641</v>
      </c>
      <c r="G209" s="118"/>
      <c r="H209" s="118"/>
      <c r="I209" s="118"/>
      <c r="J209" s="118"/>
      <c r="K209" s="118"/>
      <c r="L209" s="212" t="str">
        <f>IF(OR(L208="",L208=0),"","xvd"&amp;(LOWER(L208)))</f>
        <v/>
      </c>
      <c r="M209" s="136"/>
      <c r="N209" s="136"/>
      <c r="O209" s="136"/>
      <c r="P209" s="136"/>
      <c r="Q209" s="136"/>
      <c r="R209" s="136"/>
      <c r="S209" s="136"/>
      <c r="T209" s="136"/>
      <c r="U209" s="136"/>
      <c r="V209" s="136"/>
      <c r="W209" s="136"/>
      <c r="X209" s="136"/>
      <c r="Y209" s="136"/>
      <c r="Z209" s="136"/>
      <c r="AA209" s="136"/>
    </row>
    <row r="210" spans="3:27">
      <c r="C210" s="72"/>
      <c r="D210" s="72"/>
      <c r="E210" s="68"/>
      <c r="F210" s="129" t="s">
        <v>220</v>
      </c>
      <c r="G210" s="118"/>
      <c r="H210" s="118"/>
      <c r="I210" s="118"/>
      <c r="J210" s="118"/>
      <c r="K210" s="118"/>
      <c r="L210" s="213" t="str">
        <f>IF(L208="","",L80)</f>
        <v/>
      </c>
      <c r="M210" s="136"/>
      <c r="N210" s="136"/>
      <c r="O210" s="136"/>
      <c r="P210" s="136"/>
      <c r="Q210" s="136"/>
      <c r="R210" s="136"/>
      <c r="S210" s="136"/>
      <c r="T210" s="136"/>
      <c r="U210" s="136"/>
      <c r="V210" s="136"/>
      <c r="W210" s="136"/>
      <c r="X210" s="136"/>
      <c r="Y210" s="136"/>
      <c r="Z210" s="136"/>
      <c r="AA210" s="136"/>
    </row>
    <row r="211" spans="3:27">
      <c r="C211" s="72"/>
      <c r="D211" s="72"/>
      <c r="E211" s="68"/>
      <c r="F211" s="129" t="s">
        <v>70</v>
      </c>
      <c r="G211" s="118"/>
      <c r="H211" s="118"/>
      <c r="I211" s="118"/>
      <c r="J211" s="118"/>
      <c r="K211" s="118"/>
      <c r="L211" s="214" t="str">
        <f>IF(L208="","",L81)</f>
        <v/>
      </c>
      <c r="M211" s="136"/>
      <c r="N211" s="136"/>
      <c r="O211" s="136"/>
      <c r="P211" s="136"/>
      <c r="Q211" s="136"/>
      <c r="R211" s="136"/>
      <c r="S211" s="136"/>
      <c r="T211" s="136"/>
      <c r="U211" s="136"/>
      <c r="V211" s="136"/>
      <c r="W211" s="136"/>
      <c r="X211" s="136"/>
      <c r="Y211" s="136"/>
      <c r="Z211" s="136"/>
      <c r="AA211" s="136"/>
    </row>
    <row r="212" spans="3:27">
      <c r="C212" s="72"/>
      <c r="D212" s="72"/>
      <c r="E212" s="68"/>
      <c r="F212" s="129" t="s">
        <v>72</v>
      </c>
      <c r="G212" s="118"/>
      <c r="H212" s="118"/>
      <c r="I212" s="118"/>
      <c r="J212" s="118"/>
      <c r="K212" s="118"/>
      <c r="L212" s="214" t="str">
        <f>IF(L208="","",L82)</f>
        <v/>
      </c>
      <c r="M212" s="136"/>
      <c r="N212" s="136"/>
      <c r="O212" s="136"/>
      <c r="P212" s="136"/>
      <c r="Q212" s="136"/>
      <c r="R212" s="136"/>
      <c r="S212" s="136"/>
      <c r="T212" s="136"/>
      <c r="U212" s="136"/>
      <c r="V212" s="136"/>
      <c r="W212" s="136"/>
      <c r="X212" s="136"/>
      <c r="Y212" s="136"/>
      <c r="Z212" s="136"/>
      <c r="AA212" s="136"/>
    </row>
    <row r="213" spans="3:27">
      <c r="C213" s="72"/>
      <c r="D213" s="72"/>
      <c r="E213" s="72"/>
      <c r="F213" s="129" t="s">
        <v>73</v>
      </c>
      <c r="G213" s="118"/>
      <c r="H213" s="118"/>
      <c r="I213" s="118"/>
      <c r="J213" s="118"/>
      <c r="K213" s="118"/>
      <c r="L213" s="215" t="str">
        <f>IF(L208="","",L83)</f>
        <v/>
      </c>
      <c r="M213" s="136"/>
      <c r="N213" s="136"/>
      <c r="O213" s="136"/>
      <c r="P213" s="136"/>
      <c r="Q213" s="136"/>
      <c r="R213" s="136"/>
      <c r="S213" s="136"/>
      <c r="T213" s="136"/>
      <c r="U213" s="136"/>
      <c r="V213" s="136"/>
      <c r="W213" s="136"/>
      <c r="X213" s="136"/>
      <c r="Y213" s="136"/>
      <c r="Z213" s="136"/>
      <c r="AA213" s="136"/>
    </row>
    <row r="214" spans="3:27">
      <c r="C214" s="72"/>
      <c r="D214" s="72"/>
      <c r="E214" s="72"/>
      <c r="F214" s="129" t="s">
        <v>132</v>
      </c>
      <c r="G214" s="118"/>
      <c r="H214" s="118"/>
      <c r="I214" s="118"/>
      <c r="J214" s="118"/>
      <c r="K214" s="118"/>
      <c r="L214" s="215" t="str">
        <f>IF(L208="","","有効")</f>
        <v/>
      </c>
      <c r="M214" s="136"/>
      <c r="N214" s="136"/>
      <c r="O214" s="136"/>
      <c r="P214" s="136"/>
      <c r="Q214" s="136"/>
      <c r="R214" s="136"/>
      <c r="S214" s="136"/>
      <c r="T214" s="136"/>
      <c r="U214" s="136"/>
      <c r="V214" s="136"/>
      <c r="W214" s="136"/>
      <c r="X214" s="136"/>
      <c r="Y214" s="136"/>
      <c r="Z214" s="136"/>
      <c r="AA214" s="136"/>
    </row>
    <row r="215" spans="3:27">
      <c r="C215" s="72"/>
      <c r="D215" s="72"/>
      <c r="E215" s="72"/>
      <c r="F215" s="129" t="s">
        <v>642</v>
      </c>
      <c r="G215" s="118"/>
      <c r="H215" s="118"/>
      <c r="I215" s="118"/>
      <c r="J215" s="118"/>
      <c r="K215" s="118"/>
      <c r="L215" s="215" t="str">
        <f>IF(L208="","","aws/ebs")</f>
        <v/>
      </c>
      <c r="M215" s="136"/>
      <c r="N215" s="136"/>
      <c r="O215" s="136"/>
      <c r="P215" s="136"/>
      <c r="Q215" s="136"/>
      <c r="R215" s="136"/>
      <c r="S215" s="136"/>
      <c r="T215" s="136"/>
      <c r="U215" s="136"/>
      <c r="V215" s="136"/>
      <c r="W215" s="136"/>
      <c r="X215" s="136"/>
      <c r="Y215" s="136"/>
      <c r="Z215" s="136"/>
      <c r="AA215" s="136"/>
    </row>
    <row r="216" spans="3:27">
      <c r="C216" s="72"/>
      <c r="D216" s="72"/>
      <c r="E216" s="67" t="s">
        <v>86</v>
      </c>
      <c r="F216" s="114"/>
      <c r="G216" s="114"/>
      <c r="H216" s="114"/>
      <c r="I216" s="114"/>
      <c r="J216" s="114"/>
      <c r="K216" s="114"/>
      <c r="L216" s="180"/>
      <c r="M216" s="136"/>
      <c r="N216" s="136"/>
      <c r="O216" s="136"/>
      <c r="P216" s="136"/>
      <c r="Q216" s="136"/>
      <c r="R216" s="136"/>
      <c r="S216" s="136"/>
      <c r="T216" s="136"/>
      <c r="U216" s="136"/>
      <c r="V216" s="136"/>
      <c r="W216" s="136"/>
      <c r="X216" s="136"/>
      <c r="Y216" s="136"/>
      <c r="Z216" s="136"/>
      <c r="AA216" s="136"/>
    </row>
    <row r="217" spans="3:27">
      <c r="C217" s="68"/>
      <c r="D217" s="68"/>
      <c r="E217" s="68"/>
      <c r="F217" s="130" t="s">
        <v>66</v>
      </c>
      <c r="G217" s="122"/>
      <c r="H217" s="122"/>
      <c r="I217" s="122"/>
      <c r="J217" s="122"/>
      <c r="K217" s="122"/>
      <c r="L217" s="178" t="str">
        <f>IF(L85=0,"",L85)</f>
        <v/>
      </c>
      <c r="M217" s="136"/>
      <c r="N217" s="136"/>
      <c r="O217" s="136"/>
      <c r="P217" s="136"/>
      <c r="Q217" s="136"/>
      <c r="R217" s="136"/>
      <c r="S217" s="136"/>
      <c r="T217" s="136"/>
      <c r="U217" s="136"/>
      <c r="V217" s="136"/>
      <c r="W217" s="136"/>
      <c r="X217" s="136"/>
      <c r="Y217" s="136"/>
      <c r="Z217" s="136"/>
      <c r="AA217" s="136"/>
    </row>
    <row r="218" spans="3:27">
      <c r="C218" s="68"/>
      <c r="D218" s="68"/>
      <c r="E218" s="68"/>
      <c r="F218" s="129" t="s">
        <v>641</v>
      </c>
      <c r="G218" s="118"/>
      <c r="H218" s="118"/>
      <c r="I218" s="118"/>
      <c r="J218" s="118"/>
      <c r="K218" s="118"/>
      <c r="L218" s="212" t="str">
        <f>IF(OR(L217="",L217=0),"","xvd"&amp;(LOWER(L217)))</f>
        <v/>
      </c>
      <c r="M218" s="136"/>
      <c r="N218" s="136"/>
      <c r="O218" s="136"/>
      <c r="P218" s="136"/>
      <c r="Q218" s="136"/>
      <c r="R218" s="136"/>
      <c r="S218" s="136"/>
      <c r="T218" s="136"/>
      <c r="U218" s="136"/>
      <c r="V218" s="136"/>
      <c r="W218" s="136"/>
      <c r="X218" s="136"/>
      <c r="Y218" s="136"/>
      <c r="Z218" s="136"/>
      <c r="AA218" s="136"/>
    </row>
    <row r="219" spans="3:27">
      <c r="C219" s="68"/>
      <c r="D219" s="68"/>
      <c r="E219" s="68"/>
      <c r="F219" s="129" t="s">
        <v>220</v>
      </c>
      <c r="G219" s="118"/>
      <c r="H219" s="118"/>
      <c r="I219" s="118"/>
      <c r="J219" s="118"/>
      <c r="K219" s="118"/>
      <c r="L219" s="213" t="str">
        <f>IF(L217="","",L86)</f>
        <v/>
      </c>
      <c r="M219" s="136"/>
      <c r="N219" s="136"/>
      <c r="O219" s="136"/>
      <c r="P219" s="136"/>
      <c r="Q219" s="136"/>
      <c r="R219" s="136"/>
      <c r="S219" s="136"/>
      <c r="T219" s="136"/>
      <c r="U219" s="136"/>
      <c r="V219" s="136"/>
      <c r="W219" s="136"/>
      <c r="X219" s="136"/>
      <c r="Y219" s="136"/>
      <c r="Z219" s="136"/>
      <c r="AA219" s="136"/>
    </row>
    <row r="220" spans="3:27">
      <c r="C220" s="68"/>
      <c r="D220" s="68"/>
      <c r="E220" s="68"/>
      <c r="F220" s="129" t="s">
        <v>70</v>
      </c>
      <c r="G220" s="118"/>
      <c r="H220" s="118"/>
      <c r="I220" s="118"/>
      <c r="J220" s="118"/>
      <c r="K220" s="118"/>
      <c r="L220" s="214" t="str">
        <f>IF(L217="","",L87)</f>
        <v/>
      </c>
      <c r="M220" s="136"/>
      <c r="N220" s="136"/>
      <c r="O220" s="136"/>
      <c r="P220" s="136"/>
      <c r="Q220" s="136"/>
      <c r="R220" s="136"/>
      <c r="S220" s="136"/>
      <c r="T220" s="136"/>
      <c r="U220" s="136"/>
      <c r="V220" s="136"/>
      <c r="W220" s="136"/>
      <c r="X220" s="136"/>
      <c r="Y220" s="136"/>
      <c r="Z220" s="136"/>
      <c r="AA220" s="136"/>
    </row>
    <row r="221" spans="3:27">
      <c r="C221" s="68"/>
      <c r="D221" s="68"/>
      <c r="E221" s="68"/>
      <c r="F221" s="129" t="s">
        <v>72</v>
      </c>
      <c r="G221" s="118"/>
      <c r="H221" s="118"/>
      <c r="I221" s="118"/>
      <c r="J221" s="118"/>
      <c r="K221" s="118"/>
      <c r="L221" s="214" t="str">
        <f>IF(L217="","",L88)</f>
        <v/>
      </c>
      <c r="M221" s="136"/>
      <c r="N221" s="136"/>
      <c r="O221" s="136"/>
      <c r="P221" s="136"/>
      <c r="Q221" s="136"/>
      <c r="R221" s="136"/>
      <c r="S221" s="136"/>
      <c r="T221" s="136"/>
      <c r="U221" s="136"/>
      <c r="V221" s="136"/>
      <c r="W221" s="136"/>
      <c r="X221" s="136"/>
      <c r="Y221" s="136"/>
      <c r="Z221" s="136"/>
      <c r="AA221" s="136"/>
    </row>
    <row r="222" spans="3:27">
      <c r="C222" s="72"/>
      <c r="D222" s="72"/>
      <c r="E222" s="72"/>
      <c r="F222" s="129" t="s">
        <v>73</v>
      </c>
      <c r="G222" s="118"/>
      <c r="H222" s="118"/>
      <c r="I222" s="118"/>
      <c r="J222" s="118"/>
      <c r="K222" s="118"/>
      <c r="L222" s="215" t="str">
        <f>IF(L217="","",L89)</f>
        <v/>
      </c>
      <c r="M222" s="136"/>
      <c r="N222" s="136"/>
      <c r="O222" s="136"/>
      <c r="P222" s="136"/>
      <c r="Q222" s="136"/>
      <c r="R222" s="136"/>
      <c r="S222" s="136"/>
      <c r="T222" s="136"/>
      <c r="U222" s="136"/>
      <c r="V222" s="136"/>
      <c r="W222" s="136"/>
      <c r="X222" s="136"/>
      <c r="Y222" s="136"/>
      <c r="Z222" s="136"/>
      <c r="AA222" s="136"/>
    </row>
    <row r="223" spans="3:27">
      <c r="C223" s="72"/>
      <c r="D223" s="72"/>
      <c r="E223" s="72"/>
      <c r="F223" s="129" t="s">
        <v>132</v>
      </c>
      <c r="G223" s="118"/>
      <c r="H223" s="118"/>
      <c r="I223" s="118"/>
      <c r="J223" s="118"/>
      <c r="K223" s="118"/>
      <c r="L223" s="215" t="str">
        <f>IF(L217="","","有効")</f>
        <v/>
      </c>
      <c r="M223" s="136"/>
      <c r="N223" s="136"/>
      <c r="O223" s="136"/>
      <c r="P223" s="136"/>
      <c r="Q223" s="136"/>
      <c r="R223" s="136"/>
      <c r="S223" s="136"/>
      <c r="T223" s="136"/>
      <c r="U223" s="136"/>
      <c r="V223" s="136"/>
      <c r="W223" s="136"/>
      <c r="X223" s="136"/>
      <c r="Y223" s="136"/>
      <c r="Z223" s="136"/>
      <c r="AA223" s="136"/>
    </row>
    <row r="224" spans="3:27" ht="18.75" customHeight="1">
      <c r="C224" s="72"/>
      <c r="D224" s="72"/>
      <c r="E224" s="72"/>
      <c r="F224" s="129" t="s">
        <v>642</v>
      </c>
      <c r="G224" s="118"/>
      <c r="H224" s="118"/>
      <c r="I224" s="118"/>
      <c r="J224" s="118"/>
      <c r="K224" s="118"/>
      <c r="L224" s="215" t="str">
        <f>IF(L217="","","aws/ebs")</f>
        <v/>
      </c>
      <c r="M224" s="136"/>
      <c r="N224" s="136"/>
      <c r="O224" s="136"/>
      <c r="P224" s="136"/>
      <c r="Q224" s="136"/>
      <c r="R224" s="136"/>
      <c r="S224" s="136"/>
      <c r="T224" s="136"/>
      <c r="U224" s="136"/>
      <c r="V224" s="136"/>
      <c r="W224" s="136"/>
      <c r="X224" s="136"/>
      <c r="Y224" s="136"/>
      <c r="Z224" s="136"/>
      <c r="AA224" s="136"/>
    </row>
    <row r="225" spans="3:27">
      <c r="C225" s="72"/>
      <c r="D225" s="67" t="s">
        <v>674</v>
      </c>
      <c r="E225" s="114"/>
      <c r="F225" s="114"/>
      <c r="G225" s="114"/>
      <c r="H225" s="114"/>
      <c r="I225" s="114"/>
      <c r="J225" s="114"/>
      <c r="K225" s="114"/>
      <c r="L225" s="175"/>
      <c r="M225" s="136"/>
      <c r="N225" s="136"/>
      <c r="O225" s="136"/>
      <c r="P225" s="136"/>
      <c r="Q225" s="136"/>
      <c r="R225" s="136"/>
      <c r="S225" s="136"/>
      <c r="T225" s="136"/>
      <c r="U225" s="136"/>
      <c r="V225" s="136"/>
      <c r="W225" s="136"/>
      <c r="X225" s="136"/>
      <c r="Y225" s="136"/>
      <c r="Z225" s="136"/>
      <c r="AA225" s="136"/>
    </row>
    <row r="226" spans="3:27" ht="16.5" customHeight="1">
      <c r="C226" s="68"/>
      <c r="D226" s="68"/>
      <c r="E226" s="67" t="s">
        <v>211</v>
      </c>
      <c r="F226" s="114"/>
      <c r="G226" s="116" t="s">
        <v>134</v>
      </c>
      <c r="H226" s="122"/>
      <c r="I226" s="122"/>
      <c r="J226" s="122"/>
      <c r="K226" s="122"/>
      <c r="L226" s="243" t="str" cm="1">
        <f t="array" aca="1" ref="L226" ca="1">IF(L11="","※ランドスケープを選択してください。"&amp;"(セル：L"&amp;CELL("row",L11)&amp;")",
IF(L19="","※システム種類を入力してください。"&amp;"(セル：L"&amp;CELL("row",L19)&amp;")",
IF(L21="","※会社コードを選択してください。"&amp;"(セル：L"&amp;CELL("row",L21)&amp;")",
IF(L23="","※サーバ種類を選択してください。"&amp;"(セル：L"&amp;CELL("row",L23)&amp;")",
IF(L24="","※連番を入力してください。"&amp;"(セル：L"&amp;CELL("row",L24)&amp;")",
IF(AND(L11&lt;&gt;"",L19&lt;&gt;"",L21&lt;&gt;"",L23&lt;&gt;"",L24&lt;&gt;""),"Name"))))))</f>
        <v>※ランドスケープを選択してください。(セル：L11)</v>
      </c>
      <c r="M226" s="136"/>
      <c r="N226" s="136"/>
      <c r="O226" s="136"/>
      <c r="P226" s="136"/>
      <c r="Q226" s="136"/>
      <c r="R226" s="136"/>
      <c r="S226" s="136"/>
      <c r="T226" s="136"/>
      <c r="U226" s="136"/>
      <c r="V226" s="136"/>
      <c r="W226" s="136"/>
      <c r="X226" s="136"/>
      <c r="Y226" s="136"/>
      <c r="Z226" s="136"/>
      <c r="AA226" s="136"/>
    </row>
    <row r="227" spans="3:27" ht="18.75" customHeight="1">
      <c r="C227" s="68"/>
      <c r="D227" s="68"/>
      <c r="E227" s="68"/>
      <c r="F227" s="133"/>
      <c r="G227" s="117" t="s">
        <v>135</v>
      </c>
      <c r="H227" s="118"/>
      <c r="I227" s="118"/>
      <c r="J227" s="118"/>
      <c r="K227" s="118"/>
      <c r="L227" s="241" t="str">
        <f ca="1">IF(L226="Name",L19&amp;LEFT(L20,1)&amp;LEFT(L21,2)&amp;LEFT(L22,3)&amp;LEFT(L23,2)&amp;L24,L231)</f>
        <v>※ランドスケープを選択してください。(セル：L11)</v>
      </c>
      <c r="M227" s="136"/>
      <c r="N227" s="136"/>
      <c r="O227" s="136"/>
      <c r="P227" s="136"/>
      <c r="Q227" s="136"/>
      <c r="R227" s="136"/>
      <c r="S227" s="136"/>
      <c r="T227" s="136"/>
      <c r="U227" s="136"/>
      <c r="V227" s="136"/>
      <c r="W227" s="136"/>
      <c r="X227" s="136"/>
      <c r="Y227" s="136"/>
      <c r="Z227" s="136"/>
      <c r="AA227" s="136"/>
    </row>
    <row r="228" spans="3:27" ht="18.75" customHeight="1">
      <c r="C228" s="68"/>
      <c r="D228" s="68"/>
      <c r="E228" s="68"/>
      <c r="F228" s="133"/>
      <c r="G228" s="117" t="s">
        <v>700</v>
      </c>
      <c r="H228" s="118"/>
      <c r="I228" s="118"/>
      <c r="J228" s="118"/>
      <c r="K228" s="118"/>
      <c r="L228" s="241" t="str">
        <f>"有効"</f>
        <v>有効</v>
      </c>
      <c r="M228" s="136"/>
      <c r="N228" s="136"/>
      <c r="O228" s="136"/>
      <c r="P228" s="136"/>
      <c r="Q228" s="136"/>
      <c r="R228" s="136"/>
      <c r="S228" s="136"/>
      <c r="T228" s="136"/>
      <c r="U228" s="136"/>
      <c r="V228" s="136"/>
      <c r="W228" s="136"/>
      <c r="X228" s="136"/>
      <c r="Y228" s="136"/>
      <c r="Z228" s="136"/>
      <c r="AA228" s="136"/>
    </row>
    <row r="229" spans="3:27" ht="18.75" customHeight="1">
      <c r="C229" s="68"/>
      <c r="D229" s="68"/>
      <c r="E229" s="68"/>
      <c r="F229" s="133"/>
      <c r="G229" s="117" t="s">
        <v>701</v>
      </c>
      <c r="H229" s="118"/>
      <c r="I229" s="118"/>
      <c r="J229" s="118"/>
      <c r="K229" s="118"/>
      <c r="L229" s="241" t="str">
        <f>"無効"</f>
        <v>無効</v>
      </c>
      <c r="M229" s="136"/>
      <c r="N229" s="136"/>
      <c r="O229" s="136"/>
      <c r="P229" s="136"/>
      <c r="Q229" s="136"/>
      <c r="R229" s="136"/>
      <c r="S229" s="136"/>
      <c r="T229" s="136"/>
      <c r="U229" s="136"/>
      <c r="V229" s="136"/>
      <c r="W229" s="136"/>
      <c r="X229" s="136"/>
      <c r="Y229" s="136"/>
      <c r="Z229" s="136"/>
      <c r="AA229" s="136"/>
    </row>
    <row r="230" spans="3:27" ht="18.75" customHeight="1">
      <c r="C230" s="68"/>
      <c r="D230" s="68"/>
      <c r="E230" s="68"/>
      <c r="F230" s="133"/>
      <c r="G230" s="119" t="s">
        <v>702</v>
      </c>
      <c r="H230" s="120"/>
      <c r="I230" s="120"/>
      <c r="J230" s="120"/>
      <c r="K230" s="120"/>
      <c r="L230" s="242" t="str">
        <f>"無効"</f>
        <v>無効</v>
      </c>
      <c r="M230" s="136"/>
      <c r="N230" s="136"/>
      <c r="O230" s="136"/>
      <c r="P230" s="136"/>
      <c r="Q230" s="136"/>
      <c r="R230" s="136"/>
      <c r="S230" s="136"/>
      <c r="T230" s="136"/>
      <c r="U230" s="136"/>
      <c r="V230" s="136"/>
      <c r="W230" s="136"/>
      <c r="X230" s="136"/>
      <c r="Y230" s="136"/>
      <c r="Z230" s="136"/>
      <c r="AA230" s="136"/>
    </row>
    <row r="231" spans="3:27">
      <c r="C231" s="68"/>
      <c r="D231" s="68"/>
      <c r="E231" s="67" t="s">
        <v>214</v>
      </c>
      <c r="F231" s="114"/>
      <c r="G231" s="116" t="s">
        <v>134</v>
      </c>
      <c r="H231" s="122"/>
      <c r="I231" s="122"/>
      <c r="J231" s="122"/>
      <c r="K231" s="182"/>
      <c r="L231" s="178" t="str" cm="1">
        <f t="array" aca="1" ref="L231" ca="1">IF(L11="","※ランドスケープを選択してください。"&amp;"(セル：L"&amp;CELL("row",L11)&amp;")",
IF(L19="","※システム種類を入力してください。"&amp;"(セル：L"&amp;CELL("row",L19)&amp;")",
IF(L21="","※会社コードを選択してください。"&amp;"(セル：L"&amp;CELL("row",L21)&amp;")",
IF(L23="","※サーバ種類を選択してください。"&amp;"(セル：L"&amp;CELL("row",L23)&amp;")",
IF(L24="","※連番を入力してください。"&amp;"(セル：L"&amp;CELL("row",L24)&amp;")",
IF(AND(L11&lt;&gt;"",L19&lt;&gt;"",L21&lt;&gt;"",L23&lt;&gt;"",L24&lt;&gt;""),"Hostname"))))))</f>
        <v>※ランドスケープを選択してください。(セル：L11)</v>
      </c>
      <c r="M231" s="136"/>
      <c r="N231" s="136"/>
      <c r="O231" s="136"/>
      <c r="P231" s="136"/>
      <c r="Q231" s="136"/>
      <c r="R231" s="136"/>
      <c r="S231" s="136"/>
      <c r="T231" s="136"/>
      <c r="U231" s="136"/>
      <c r="V231" s="136"/>
      <c r="W231" s="136"/>
      <c r="X231" s="136"/>
      <c r="Y231" s="136"/>
      <c r="Z231" s="136"/>
      <c r="AA231" s="136"/>
    </row>
    <row r="232" spans="3:27">
      <c r="C232" s="68"/>
      <c r="D232" s="68"/>
      <c r="E232" s="68"/>
      <c r="F232" s="218"/>
      <c r="G232" s="117" t="s">
        <v>135</v>
      </c>
      <c r="H232" s="118"/>
      <c r="I232" s="118"/>
      <c r="J232" s="118"/>
      <c r="K232" s="245"/>
      <c r="L232" s="179" t="str">
        <f ca="1">IF(L231="Hostname",L19&amp;LEFT(L20,1)&amp;LEFT(L21,2)&amp;LEFT(L22,3)&amp;LEFT(L23,2)&amp;L24,L231)</f>
        <v>※ランドスケープを選択してください。(セル：L11)</v>
      </c>
      <c r="M232" s="136"/>
      <c r="N232" s="136"/>
      <c r="O232" s="136"/>
      <c r="P232" s="136"/>
      <c r="Q232" s="136"/>
      <c r="R232" s="136"/>
      <c r="S232" s="136"/>
      <c r="T232" s="136"/>
      <c r="U232" s="136"/>
      <c r="V232" s="136"/>
      <c r="W232" s="136"/>
      <c r="X232" s="136"/>
      <c r="Y232" s="136"/>
      <c r="Z232" s="136"/>
      <c r="AA232" s="136"/>
    </row>
    <row r="233" spans="3:27" ht="18.75" customHeight="1">
      <c r="C233" s="68"/>
      <c r="D233" s="68"/>
      <c r="E233" s="68"/>
      <c r="F233" s="218"/>
      <c r="G233" s="117" t="s">
        <v>700</v>
      </c>
      <c r="H233" s="118"/>
      <c r="I233" s="118"/>
      <c r="J233" s="118"/>
      <c r="K233" s="245"/>
      <c r="L233" s="241" t="str">
        <f>"有効"</f>
        <v>有効</v>
      </c>
      <c r="M233" s="136"/>
      <c r="N233" s="136"/>
      <c r="O233" s="136"/>
      <c r="P233" s="136"/>
      <c r="Q233" s="136"/>
      <c r="R233" s="136"/>
      <c r="S233" s="136"/>
      <c r="T233" s="136"/>
      <c r="U233" s="136"/>
      <c r="V233" s="136"/>
      <c r="W233" s="136"/>
      <c r="X233" s="136"/>
      <c r="Y233" s="136"/>
      <c r="Z233" s="136"/>
      <c r="AA233" s="136"/>
    </row>
    <row r="234" spans="3:27" ht="18.75" customHeight="1">
      <c r="C234" s="68"/>
      <c r="D234" s="68"/>
      <c r="E234" s="68"/>
      <c r="F234" s="133"/>
      <c r="G234" s="117" t="s">
        <v>701</v>
      </c>
      <c r="H234" s="118"/>
      <c r="I234" s="118"/>
      <c r="J234" s="118"/>
      <c r="K234" s="118"/>
      <c r="L234" s="241" t="str">
        <f>"無効"</f>
        <v>無効</v>
      </c>
      <c r="M234" s="136"/>
      <c r="N234" s="136"/>
      <c r="O234" s="136"/>
      <c r="P234" s="136"/>
      <c r="Q234" s="136"/>
      <c r="R234" s="136"/>
      <c r="S234" s="136"/>
      <c r="T234" s="136"/>
      <c r="U234" s="136"/>
      <c r="V234" s="136"/>
      <c r="W234" s="136"/>
      <c r="X234" s="136"/>
      <c r="Y234" s="136"/>
      <c r="Z234" s="136"/>
      <c r="AA234" s="136"/>
    </row>
    <row r="235" spans="3:27" ht="18.75" customHeight="1">
      <c r="C235" s="68"/>
      <c r="D235" s="68"/>
      <c r="E235" s="68"/>
      <c r="F235" s="133"/>
      <c r="G235" s="119" t="s">
        <v>702</v>
      </c>
      <c r="H235" s="120"/>
      <c r="I235" s="120"/>
      <c r="J235" s="120"/>
      <c r="K235" s="120"/>
      <c r="L235" s="242" t="str">
        <f>"無効"</f>
        <v>無効</v>
      </c>
      <c r="M235" s="136"/>
      <c r="N235" s="136"/>
      <c r="O235" s="136"/>
      <c r="P235" s="136"/>
      <c r="Q235" s="136"/>
      <c r="R235" s="136"/>
      <c r="S235" s="136"/>
      <c r="T235" s="136"/>
      <c r="U235" s="136"/>
      <c r="V235" s="136"/>
      <c r="W235" s="136"/>
      <c r="X235" s="136"/>
      <c r="Y235" s="136"/>
      <c r="Z235" s="136"/>
      <c r="AA235" s="136"/>
    </row>
    <row r="236" spans="3:27">
      <c r="C236" s="68"/>
      <c r="D236" s="68"/>
      <c r="E236" s="67" t="s">
        <v>215</v>
      </c>
      <c r="F236" s="114"/>
      <c r="G236" s="116" t="s">
        <v>134</v>
      </c>
      <c r="H236" s="122"/>
      <c r="I236" s="122"/>
      <c r="J236" s="122"/>
      <c r="K236" s="182"/>
      <c r="L236" s="178" t="str" cm="1">
        <f t="array" aca="1" ref="L236" ca="1">IF(L19="","※システム種類を入力してください。"&amp;"(セル：L"&amp;CELL("row",L19)&amp;")","System")</f>
        <v>※システム種類を入力してください。(セル：L19)</v>
      </c>
      <c r="M236" s="136"/>
      <c r="N236" s="136"/>
      <c r="O236" s="136"/>
      <c r="P236" s="136"/>
      <c r="Q236" s="136"/>
      <c r="R236" s="136"/>
      <c r="S236" s="136"/>
      <c r="T236" s="136"/>
      <c r="U236" s="136"/>
      <c r="V236" s="136"/>
      <c r="W236" s="136"/>
      <c r="X236" s="136"/>
      <c r="Y236" s="136"/>
      <c r="Z236" s="136"/>
      <c r="AA236" s="136"/>
    </row>
    <row r="237" spans="3:27">
      <c r="C237" s="68"/>
      <c r="D237" s="68"/>
      <c r="E237" s="68"/>
      <c r="F237" s="218"/>
      <c r="G237" s="117" t="s">
        <v>135</v>
      </c>
      <c r="H237" s="118"/>
      <c r="I237" s="118"/>
      <c r="J237" s="118"/>
      <c r="K237" s="245"/>
      <c r="L237" s="246" t="str">
        <f ca="1">IF(L236="System",L19,L236)</f>
        <v>※システム種類を入力してください。(セル：L19)</v>
      </c>
      <c r="M237" s="136"/>
      <c r="N237" s="136"/>
      <c r="O237" s="136"/>
      <c r="P237" s="136"/>
      <c r="Q237" s="136"/>
      <c r="R237" s="136"/>
      <c r="S237" s="136"/>
      <c r="T237" s="136"/>
      <c r="U237" s="136"/>
      <c r="V237" s="136"/>
      <c r="W237" s="136"/>
      <c r="X237" s="136"/>
      <c r="Y237" s="136"/>
      <c r="Z237" s="136"/>
      <c r="AA237" s="136"/>
    </row>
    <row r="238" spans="3:27" ht="18.75" customHeight="1">
      <c r="C238" s="68"/>
      <c r="D238" s="68"/>
      <c r="E238" s="68"/>
      <c r="F238" s="218"/>
      <c r="G238" s="117" t="s">
        <v>700</v>
      </c>
      <c r="H238" s="118"/>
      <c r="I238" s="118"/>
      <c r="J238" s="118"/>
      <c r="K238" s="245"/>
      <c r="L238" s="241" t="str">
        <f>"有効"</f>
        <v>有効</v>
      </c>
      <c r="M238" s="136"/>
      <c r="N238" s="136"/>
      <c r="O238" s="136"/>
      <c r="P238" s="136"/>
      <c r="Q238" s="136"/>
      <c r="R238" s="136"/>
      <c r="S238" s="136"/>
      <c r="T238" s="136"/>
      <c r="U238" s="136"/>
      <c r="V238" s="136"/>
      <c r="W238" s="136"/>
      <c r="X238" s="136"/>
      <c r="Y238" s="136"/>
      <c r="Z238" s="136"/>
      <c r="AA238" s="136"/>
    </row>
    <row r="239" spans="3:27" ht="18.75" customHeight="1">
      <c r="C239" s="68"/>
      <c r="D239" s="68"/>
      <c r="E239" s="68"/>
      <c r="F239" s="133"/>
      <c r="G239" s="117" t="s">
        <v>701</v>
      </c>
      <c r="H239" s="118"/>
      <c r="I239" s="118"/>
      <c r="J239" s="118"/>
      <c r="K239" s="245"/>
      <c r="L239" s="241" t="str">
        <f>"無効"</f>
        <v>無効</v>
      </c>
      <c r="M239" s="136"/>
      <c r="N239" s="136"/>
      <c r="O239" s="136"/>
      <c r="P239" s="136"/>
      <c r="Q239" s="136"/>
      <c r="R239" s="136"/>
      <c r="S239" s="136"/>
      <c r="T239" s="136"/>
      <c r="U239" s="136"/>
      <c r="V239" s="136"/>
      <c r="W239" s="136"/>
      <c r="X239" s="136"/>
      <c r="Y239" s="136"/>
      <c r="Z239" s="136"/>
      <c r="AA239" s="136"/>
    </row>
    <row r="240" spans="3:27" ht="18.75" customHeight="1">
      <c r="C240" s="68"/>
      <c r="D240" s="68"/>
      <c r="E240" s="68"/>
      <c r="F240" s="133"/>
      <c r="G240" s="119" t="s">
        <v>702</v>
      </c>
      <c r="H240" s="120"/>
      <c r="I240" s="120"/>
      <c r="J240" s="120"/>
      <c r="K240" s="121"/>
      <c r="L240" s="242" t="str">
        <f>"無効"</f>
        <v>無効</v>
      </c>
      <c r="M240" s="136"/>
      <c r="N240" s="136"/>
      <c r="O240" s="136"/>
      <c r="P240" s="136"/>
      <c r="Q240" s="136"/>
      <c r="R240" s="136"/>
      <c r="S240" s="136"/>
      <c r="T240" s="136"/>
      <c r="U240" s="136"/>
      <c r="V240" s="136"/>
      <c r="W240" s="136"/>
      <c r="X240" s="136"/>
      <c r="Y240" s="136"/>
      <c r="Z240" s="136"/>
      <c r="AA240" s="136"/>
    </row>
    <row r="241" spans="3:27">
      <c r="C241" s="68"/>
      <c r="D241" s="68"/>
      <c r="E241" s="67" t="s">
        <v>216</v>
      </c>
      <c r="F241" s="114"/>
      <c r="G241" s="116" t="s">
        <v>134</v>
      </c>
      <c r="H241" s="122"/>
      <c r="I241" s="122"/>
      <c r="J241" s="122"/>
      <c r="K241" s="182"/>
      <c r="L241" s="178" t="str" cm="1">
        <f t="array" aca="1" ref="L241" ca="1">IF(LEN(L26)&lt;2,"-",
IF(L27="","※部門コードを入力してください。"&amp;"(セル：L"&amp;CELL("row",L27)&amp;")",
IF(AND(L26&lt;&gt;"",L27&lt;&gt;""),"CostAllocation")))</f>
        <v>-</v>
      </c>
      <c r="M241" s="136"/>
      <c r="N241" s="136"/>
      <c r="O241" s="136"/>
      <c r="P241" s="136"/>
      <c r="Q241" s="136"/>
      <c r="R241" s="136"/>
      <c r="S241" s="136"/>
      <c r="T241" s="136"/>
      <c r="U241" s="136"/>
      <c r="V241" s="136"/>
      <c r="W241" s="136"/>
      <c r="X241" s="136"/>
      <c r="Y241" s="136"/>
      <c r="Z241" s="136"/>
      <c r="AA241" s="136"/>
    </row>
    <row r="242" spans="3:27">
      <c r="C242" s="68"/>
      <c r="D242" s="68"/>
      <c r="E242" s="68"/>
      <c r="F242" s="218"/>
      <c r="G242" s="117" t="s">
        <v>135</v>
      </c>
      <c r="H242" s="118"/>
      <c r="I242" s="118"/>
      <c r="J242" s="118"/>
      <c r="K242" s="245"/>
      <c r="L242" s="246" t="str">
        <f ca="1">IF(L241="CostAllocation",L26&amp;"-"&amp;L27,L241)</f>
        <v>-</v>
      </c>
      <c r="M242" s="136"/>
      <c r="N242" s="136"/>
      <c r="O242" s="136"/>
      <c r="P242" s="136"/>
      <c r="Q242" s="136"/>
      <c r="R242" s="136"/>
      <c r="S242" s="136"/>
      <c r="T242" s="136"/>
      <c r="U242" s="136"/>
      <c r="V242" s="136"/>
      <c r="W242" s="136"/>
      <c r="X242" s="136"/>
      <c r="Y242" s="136"/>
      <c r="Z242" s="136"/>
      <c r="AA242" s="136"/>
    </row>
    <row r="243" spans="3:27" ht="18.75" customHeight="1">
      <c r="C243" s="68"/>
      <c r="D243" s="68"/>
      <c r="E243" s="68"/>
      <c r="F243" s="218"/>
      <c r="G243" s="117" t="s">
        <v>700</v>
      </c>
      <c r="H243" s="118"/>
      <c r="I243" s="118"/>
      <c r="J243" s="118"/>
      <c r="K243" s="245"/>
      <c r="L243" s="241" t="str">
        <f>"有効"</f>
        <v>有効</v>
      </c>
      <c r="M243" s="136"/>
      <c r="N243" s="136"/>
      <c r="O243" s="136"/>
      <c r="P243" s="136"/>
      <c r="Q243" s="136"/>
      <c r="R243" s="136"/>
      <c r="S243" s="136"/>
      <c r="T243" s="136"/>
      <c r="U243" s="136"/>
      <c r="V243" s="136"/>
      <c r="W243" s="136"/>
      <c r="X243" s="136"/>
      <c r="Y243" s="136"/>
      <c r="Z243" s="136"/>
      <c r="AA243" s="136"/>
    </row>
    <row r="244" spans="3:27" ht="18.75" customHeight="1">
      <c r="C244" s="68"/>
      <c r="D244" s="68"/>
      <c r="E244" s="68"/>
      <c r="F244" s="133"/>
      <c r="G244" s="117" t="s">
        <v>701</v>
      </c>
      <c r="H244" s="118"/>
      <c r="I244" s="118"/>
      <c r="J244" s="118"/>
      <c r="K244" s="245"/>
      <c r="L244" s="241" t="str">
        <f>"無効"</f>
        <v>無効</v>
      </c>
      <c r="M244" s="136"/>
      <c r="N244" s="136"/>
      <c r="O244" s="136"/>
      <c r="P244" s="136"/>
      <c r="Q244" s="136"/>
      <c r="R244" s="136"/>
      <c r="S244" s="136"/>
      <c r="T244" s="136"/>
      <c r="U244" s="136"/>
      <c r="V244" s="136"/>
      <c r="W244" s="136"/>
      <c r="X244" s="136"/>
      <c r="Y244" s="136"/>
      <c r="Z244" s="136"/>
      <c r="AA244" s="136"/>
    </row>
    <row r="245" spans="3:27" ht="18.75" customHeight="1">
      <c r="C245" s="68"/>
      <c r="D245" s="68"/>
      <c r="E245" s="68"/>
      <c r="F245" s="133"/>
      <c r="G245" s="119" t="s">
        <v>702</v>
      </c>
      <c r="H245" s="120"/>
      <c r="I245" s="120"/>
      <c r="J245" s="120"/>
      <c r="K245" s="121"/>
      <c r="L245" s="242" t="str">
        <f>"無効"</f>
        <v>無効</v>
      </c>
      <c r="M245" s="136"/>
      <c r="N245" s="136"/>
      <c r="O245" s="136"/>
      <c r="P245" s="136"/>
      <c r="Q245" s="136"/>
      <c r="R245" s="136"/>
      <c r="S245" s="136"/>
      <c r="T245" s="136"/>
      <c r="U245" s="136"/>
      <c r="V245" s="136"/>
      <c r="W245" s="136"/>
      <c r="X245" s="136"/>
      <c r="Y245" s="136"/>
      <c r="Z245" s="136"/>
      <c r="AA245" s="136"/>
    </row>
    <row r="246" spans="3:27">
      <c r="C246" s="68"/>
      <c r="D246" s="68"/>
      <c r="E246" s="67" t="s">
        <v>622</v>
      </c>
      <c r="F246" s="114"/>
      <c r="G246" s="116" t="s">
        <v>134</v>
      </c>
      <c r="H246" s="122"/>
      <c r="I246" s="122"/>
      <c r="J246" s="122"/>
      <c r="K246" s="182"/>
      <c r="L246" s="178" t="str">
        <f>"Backup"</f>
        <v>Backup</v>
      </c>
      <c r="M246" s="136"/>
      <c r="N246" s="136"/>
      <c r="O246" s="136"/>
      <c r="P246" s="136"/>
      <c r="Q246" s="136"/>
      <c r="R246" s="136"/>
      <c r="S246" s="136"/>
      <c r="T246" s="136"/>
      <c r="U246" s="136"/>
      <c r="V246" s="136"/>
      <c r="W246" s="136"/>
      <c r="X246" s="136"/>
      <c r="Y246" s="136"/>
      <c r="Z246" s="136"/>
      <c r="AA246" s="136"/>
    </row>
    <row r="247" spans="3:27">
      <c r="C247" s="68"/>
      <c r="D247" s="68"/>
      <c r="E247" s="68"/>
      <c r="F247" s="218"/>
      <c r="G247" s="117" t="s">
        <v>135</v>
      </c>
      <c r="H247" s="118"/>
      <c r="I247" s="118"/>
      <c r="J247" s="118"/>
      <c r="K247" s="245"/>
      <c r="L247" s="246" t="str">
        <f>"Daily-7day-Retention-JST-0200"</f>
        <v>Daily-7day-Retention-JST-0200</v>
      </c>
      <c r="M247" s="136"/>
      <c r="N247" s="136"/>
      <c r="O247" s="136"/>
      <c r="P247" s="136"/>
      <c r="Q247" s="136"/>
      <c r="R247" s="136"/>
      <c r="S247" s="136"/>
      <c r="T247" s="136"/>
      <c r="U247" s="136"/>
      <c r="V247" s="136"/>
      <c r="W247" s="136"/>
      <c r="X247" s="136"/>
      <c r="Y247" s="136"/>
      <c r="Z247" s="136"/>
      <c r="AA247" s="136"/>
    </row>
    <row r="248" spans="3:27">
      <c r="C248" s="68"/>
      <c r="D248" s="68"/>
      <c r="E248" s="68"/>
      <c r="F248" s="218"/>
      <c r="G248" s="117" t="s">
        <v>700</v>
      </c>
      <c r="H248" s="118"/>
      <c r="I248" s="118"/>
      <c r="J248" s="118"/>
      <c r="K248" s="245"/>
      <c r="L248" s="241" t="str">
        <f>"有効"</f>
        <v>有効</v>
      </c>
      <c r="M248" s="136"/>
      <c r="N248" s="136"/>
      <c r="O248" s="136"/>
      <c r="P248" s="136"/>
      <c r="Q248" s="136"/>
      <c r="R248" s="136"/>
      <c r="S248" s="136"/>
      <c r="T248" s="136"/>
      <c r="U248" s="136"/>
      <c r="V248" s="136"/>
      <c r="W248" s="136"/>
      <c r="X248" s="136"/>
      <c r="Y248" s="136"/>
      <c r="Z248" s="136"/>
      <c r="AA248" s="136"/>
    </row>
    <row r="249" spans="3:27">
      <c r="C249" s="68"/>
      <c r="D249" s="68"/>
      <c r="E249" s="68"/>
      <c r="F249" s="133"/>
      <c r="G249" s="117" t="s">
        <v>701</v>
      </c>
      <c r="H249" s="118"/>
      <c r="I249" s="118"/>
      <c r="J249" s="118"/>
      <c r="K249" s="245"/>
      <c r="L249" s="241" t="str">
        <f>"無効"</f>
        <v>無効</v>
      </c>
      <c r="M249" s="136"/>
      <c r="N249" s="136"/>
      <c r="O249" s="136"/>
      <c r="P249" s="136"/>
      <c r="Q249" s="136"/>
      <c r="R249" s="136"/>
      <c r="S249" s="136"/>
      <c r="T249" s="136"/>
      <c r="U249" s="136"/>
      <c r="V249" s="136"/>
      <c r="W249" s="136"/>
      <c r="X249" s="136"/>
      <c r="Y249" s="136"/>
      <c r="Z249" s="136"/>
      <c r="AA249" s="136"/>
    </row>
    <row r="250" spans="3:27">
      <c r="C250" s="68"/>
      <c r="D250" s="68"/>
      <c r="E250" s="68"/>
      <c r="F250" s="133"/>
      <c r="G250" s="119" t="s">
        <v>702</v>
      </c>
      <c r="H250" s="120"/>
      <c r="I250" s="120"/>
      <c r="J250" s="120"/>
      <c r="K250" s="121"/>
      <c r="L250" s="242" t="str">
        <f>"無効"</f>
        <v>無効</v>
      </c>
      <c r="M250" s="136"/>
      <c r="N250" s="136"/>
      <c r="O250" s="136"/>
      <c r="P250" s="136"/>
      <c r="Q250" s="136"/>
      <c r="R250" s="136"/>
      <c r="S250" s="136"/>
      <c r="T250" s="136"/>
      <c r="U250" s="136"/>
      <c r="V250" s="136"/>
      <c r="W250" s="136"/>
      <c r="X250" s="136"/>
      <c r="Y250" s="136"/>
      <c r="Z250" s="136"/>
      <c r="AA250" s="136"/>
    </row>
    <row r="251" spans="3:27">
      <c r="C251" s="68"/>
      <c r="D251" s="68"/>
      <c r="E251" s="67" t="s">
        <v>617</v>
      </c>
      <c r="F251" s="114"/>
      <c r="G251" s="116" t="s">
        <v>134</v>
      </c>
      <c r="H251" s="122"/>
      <c r="I251" s="122"/>
      <c r="J251" s="122"/>
      <c r="K251" s="182"/>
      <c r="L251" s="178" t="str">
        <f>"Cylance"</f>
        <v>Cylance</v>
      </c>
      <c r="M251" s="136"/>
      <c r="N251" s="136"/>
      <c r="O251" s="136"/>
      <c r="P251" s="136"/>
      <c r="Q251" s="136"/>
      <c r="R251" s="136"/>
      <c r="S251" s="136"/>
      <c r="T251" s="136"/>
      <c r="U251" s="136"/>
      <c r="V251" s="136"/>
      <c r="W251" s="136"/>
      <c r="X251" s="136"/>
      <c r="Y251" s="136"/>
      <c r="Z251" s="136"/>
      <c r="AA251" s="136"/>
    </row>
    <row r="252" spans="3:27">
      <c r="C252" s="68"/>
      <c r="D252" s="68"/>
      <c r="E252" s="68"/>
      <c r="F252" s="218"/>
      <c r="G252" s="117" t="s">
        <v>135</v>
      </c>
      <c r="H252" s="118"/>
      <c r="I252" s="118"/>
      <c r="J252" s="118"/>
      <c r="K252" s="245"/>
      <c r="L252" s="246" t="str">
        <f>"yes"</f>
        <v>yes</v>
      </c>
      <c r="M252" s="136"/>
      <c r="N252" s="136"/>
      <c r="O252" s="136"/>
      <c r="P252" s="136"/>
      <c r="Q252" s="136"/>
      <c r="R252" s="136"/>
      <c r="S252" s="136"/>
      <c r="T252" s="136"/>
      <c r="U252" s="136"/>
      <c r="V252" s="136"/>
      <c r="W252" s="136"/>
      <c r="X252" s="136"/>
      <c r="Y252" s="136"/>
      <c r="Z252" s="136"/>
      <c r="AA252" s="136"/>
    </row>
    <row r="253" spans="3:27">
      <c r="C253" s="68"/>
      <c r="D253" s="68"/>
      <c r="E253" s="68"/>
      <c r="F253" s="218"/>
      <c r="G253" s="117" t="s">
        <v>700</v>
      </c>
      <c r="H253" s="118"/>
      <c r="I253" s="118"/>
      <c r="J253" s="118"/>
      <c r="K253" s="245"/>
      <c r="L253" s="241" t="str">
        <f>"有効"</f>
        <v>有効</v>
      </c>
      <c r="M253" s="136"/>
      <c r="N253" s="136"/>
      <c r="O253" s="136"/>
      <c r="P253" s="136"/>
      <c r="Q253" s="136"/>
      <c r="R253" s="136"/>
      <c r="S253" s="136"/>
      <c r="T253" s="136"/>
      <c r="U253" s="136"/>
      <c r="V253" s="136"/>
      <c r="W253" s="136"/>
      <c r="X253" s="136"/>
      <c r="Y253" s="136"/>
      <c r="Z253" s="136"/>
      <c r="AA253" s="136"/>
    </row>
    <row r="254" spans="3:27">
      <c r="C254" s="68"/>
      <c r="D254" s="68"/>
      <c r="E254" s="68"/>
      <c r="F254" s="133"/>
      <c r="G254" s="117" t="s">
        <v>701</v>
      </c>
      <c r="H254" s="118"/>
      <c r="I254" s="118"/>
      <c r="J254" s="118"/>
      <c r="K254" s="245"/>
      <c r="L254" s="241" t="str">
        <f>"無効"</f>
        <v>無効</v>
      </c>
      <c r="M254" s="136"/>
      <c r="N254" s="136"/>
      <c r="O254" s="136"/>
      <c r="P254" s="136"/>
      <c r="Q254" s="136"/>
      <c r="R254" s="136"/>
      <c r="S254" s="136"/>
      <c r="T254" s="136"/>
      <c r="U254" s="136"/>
      <c r="V254" s="136"/>
      <c r="W254" s="136"/>
      <c r="X254" s="136"/>
      <c r="Y254" s="136"/>
      <c r="Z254" s="136"/>
      <c r="AA254" s="136"/>
    </row>
    <row r="255" spans="3:27">
      <c r="C255" s="68"/>
      <c r="D255" s="68"/>
      <c r="E255" s="68"/>
      <c r="F255" s="133"/>
      <c r="G255" s="119" t="s">
        <v>702</v>
      </c>
      <c r="H255" s="120"/>
      <c r="I255" s="120"/>
      <c r="J255" s="120"/>
      <c r="K255" s="121"/>
      <c r="L255" s="242" t="str">
        <f>"無効"</f>
        <v>無効</v>
      </c>
      <c r="M255" s="136"/>
      <c r="N255" s="136"/>
      <c r="O255" s="136"/>
      <c r="P255" s="136"/>
      <c r="Q255" s="136"/>
      <c r="R255" s="136"/>
      <c r="S255" s="136"/>
      <c r="T255" s="136"/>
      <c r="U255" s="136"/>
      <c r="V255" s="136"/>
      <c r="W255" s="136"/>
      <c r="X255" s="136"/>
      <c r="Y255" s="136"/>
      <c r="Z255" s="136"/>
      <c r="AA255" s="136"/>
    </row>
    <row r="256" spans="3:27">
      <c r="C256" s="68"/>
      <c r="D256" s="68"/>
      <c r="E256" s="67" t="s">
        <v>618</v>
      </c>
      <c r="F256" s="114"/>
      <c r="G256" s="116" t="s">
        <v>134</v>
      </c>
      <c r="H256" s="122"/>
      <c r="I256" s="122"/>
      <c r="J256" s="122"/>
      <c r="K256" s="182"/>
      <c r="L256" s="178" t="str" cm="1">
        <f t="array" aca="1" ref="L256" ca="1">IF(L11="","※ランドスケープを選択してください。"&amp;"(セル：L"&amp;CELL("row",L11)&amp;")","env")</f>
        <v>※ランドスケープを選択してください。(セル：L11)</v>
      </c>
      <c r="M256" s="136"/>
      <c r="N256" s="136"/>
      <c r="O256" s="136"/>
      <c r="P256" s="136"/>
      <c r="Q256" s="136"/>
      <c r="R256" s="136"/>
      <c r="S256" s="136"/>
      <c r="T256" s="136"/>
      <c r="U256" s="136"/>
      <c r="V256" s="136"/>
      <c r="W256" s="136"/>
      <c r="X256" s="136"/>
      <c r="Y256" s="136"/>
      <c r="Z256" s="136"/>
      <c r="AA256" s="136"/>
    </row>
    <row r="257" spans="3:27">
      <c r="C257" s="68"/>
      <c r="D257" s="68"/>
      <c r="E257" s="68"/>
      <c r="F257" s="218"/>
      <c r="G257" s="117" t="s">
        <v>135</v>
      </c>
      <c r="H257" s="118"/>
      <c r="I257" s="118"/>
      <c r="J257" s="118"/>
      <c r="K257" s="245"/>
      <c r="L257" s="246" t="str">
        <f ca="1">IF(L256="env",L12,L256)</f>
        <v>※ランドスケープを選択してください。(セル：L11)</v>
      </c>
      <c r="M257" s="136"/>
      <c r="N257" s="136"/>
      <c r="O257" s="136"/>
      <c r="P257" s="136"/>
      <c r="Q257" s="136"/>
      <c r="R257" s="136"/>
      <c r="S257" s="136"/>
      <c r="T257" s="136"/>
      <c r="U257" s="136"/>
      <c r="V257" s="136"/>
      <c r="W257" s="136"/>
      <c r="X257" s="136"/>
      <c r="Y257" s="136"/>
      <c r="Z257" s="136"/>
      <c r="AA257" s="136"/>
    </row>
    <row r="258" spans="3:27">
      <c r="C258" s="68"/>
      <c r="D258" s="68"/>
      <c r="E258" s="68"/>
      <c r="F258" s="218"/>
      <c r="G258" s="117" t="s">
        <v>700</v>
      </c>
      <c r="H258" s="118"/>
      <c r="I258" s="118"/>
      <c r="J258" s="118"/>
      <c r="K258" s="245"/>
      <c r="L258" s="241" t="str">
        <f>"有効"</f>
        <v>有効</v>
      </c>
      <c r="M258" s="136"/>
      <c r="N258" s="136"/>
      <c r="O258" s="136"/>
      <c r="P258" s="136"/>
      <c r="Q258" s="136"/>
      <c r="R258" s="136"/>
      <c r="S258" s="136"/>
      <c r="T258" s="136"/>
      <c r="U258" s="136"/>
      <c r="V258" s="136"/>
      <c r="W258" s="136"/>
      <c r="X258" s="136"/>
      <c r="Y258" s="136"/>
      <c r="Z258" s="136"/>
      <c r="AA258" s="136"/>
    </row>
    <row r="259" spans="3:27">
      <c r="C259" s="68"/>
      <c r="D259" s="68"/>
      <c r="E259" s="68"/>
      <c r="F259" s="133"/>
      <c r="G259" s="117" t="s">
        <v>701</v>
      </c>
      <c r="H259" s="118"/>
      <c r="I259" s="118"/>
      <c r="J259" s="118"/>
      <c r="K259" s="245"/>
      <c r="L259" s="241" t="str">
        <f>"無効"</f>
        <v>無効</v>
      </c>
      <c r="M259" s="136"/>
      <c r="N259" s="136"/>
      <c r="O259" s="136"/>
      <c r="P259" s="136"/>
      <c r="Q259" s="136"/>
      <c r="R259" s="136"/>
      <c r="S259" s="136"/>
      <c r="T259" s="136"/>
      <c r="U259" s="136"/>
      <c r="V259" s="136"/>
      <c r="W259" s="136"/>
      <c r="X259" s="136"/>
      <c r="Y259" s="136"/>
      <c r="Z259" s="136"/>
      <c r="AA259" s="136"/>
    </row>
    <row r="260" spans="3:27">
      <c r="C260" s="68"/>
      <c r="D260" s="68"/>
      <c r="E260" s="68"/>
      <c r="F260" s="133"/>
      <c r="G260" s="119" t="s">
        <v>702</v>
      </c>
      <c r="H260" s="120"/>
      <c r="I260" s="120"/>
      <c r="J260" s="120"/>
      <c r="K260" s="121"/>
      <c r="L260" s="242" t="str">
        <f>"無効"</f>
        <v>無効</v>
      </c>
      <c r="M260" s="136"/>
      <c r="N260" s="136"/>
      <c r="O260" s="136"/>
      <c r="P260" s="136"/>
      <c r="Q260" s="136"/>
      <c r="R260" s="136"/>
      <c r="S260" s="136"/>
      <c r="T260" s="136"/>
      <c r="U260" s="136"/>
      <c r="V260" s="136"/>
      <c r="W260" s="136"/>
      <c r="X260" s="136"/>
      <c r="Y260" s="136"/>
      <c r="Z260" s="136"/>
      <c r="AA260" s="136"/>
    </row>
    <row r="261" spans="3:27">
      <c r="C261" s="68"/>
      <c r="D261" s="68"/>
      <c r="E261" s="67" t="s">
        <v>619</v>
      </c>
      <c r="F261" s="114"/>
      <c r="G261" s="216" t="s">
        <v>134</v>
      </c>
      <c r="H261" s="217"/>
      <c r="I261" s="217"/>
      <c r="J261" s="217"/>
      <c r="K261" s="244"/>
      <c r="L261" s="178" t="str">
        <f>"DatadogIntegration"</f>
        <v>DatadogIntegration</v>
      </c>
      <c r="M261" s="136"/>
      <c r="N261" s="136"/>
      <c r="O261" s="136"/>
      <c r="P261" s="136"/>
      <c r="Q261" s="136"/>
      <c r="R261" s="136"/>
      <c r="S261" s="136"/>
      <c r="T261" s="136"/>
      <c r="U261" s="136"/>
      <c r="V261" s="136"/>
      <c r="W261" s="136"/>
      <c r="X261" s="136"/>
      <c r="Y261" s="136"/>
      <c r="Z261" s="136"/>
      <c r="AA261" s="136"/>
    </row>
    <row r="262" spans="3:27">
      <c r="C262" s="72"/>
      <c r="D262" s="68"/>
      <c r="E262" s="68"/>
      <c r="F262" s="218"/>
      <c r="G262" s="117" t="s">
        <v>135</v>
      </c>
      <c r="H262" s="118"/>
      <c r="I262" s="118"/>
      <c r="J262" s="118"/>
      <c r="K262" s="245"/>
      <c r="L262" s="246" t="str">
        <f>"yes"</f>
        <v>yes</v>
      </c>
      <c r="M262" s="136"/>
      <c r="N262" s="136"/>
      <c r="O262" s="136"/>
      <c r="P262" s="136"/>
      <c r="Q262" s="136"/>
      <c r="R262" s="136"/>
      <c r="S262" s="136"/>
      <c r="T262" s="136"/>
      <c r="U262" s="136"/>
      <c r="V262" s="136"/>
      <c r="W262" s="136"/>
      <c r="X262" s="136"/>
      <c r="Y262" s="136"/>
      <c r="Z262" s="136"/>
      <c r="AA262" s="136"/>
    </row>
    <row r="263" spans="3:27">
      <c r="C263" s="68"/>
      <c r="D263" s="68"/>
      <c r="E263" s="68"/>
      <c r="F263" s="218"/>
      <c r="G263" s="117" t="s">
        <v>700</v>
      </c>
      <c r="H263" s="118"/>
      <c r="I263" s="118"/>
      <c r="J263" s="118"/>
      <c r="K263" s="245"/>
      <c r="L263" s="241" t="str">
        <f>"有効"</f>
        <v>有効</v>
      </c>
      <c r="M263" s="136"/>
      <c r="N263" s="136"/>
      <c r="O263" s="136"/>
      <c r="P263" s="136"/>
      <c r="Q263" s="136"/>
      <c r="R263" s="136"/>
      <c r="S263" s="136"/>
      <c r="T263" s="136"/>
      <c r="U263" s="136"/>
      <c r="V263" s="136"/>
      <c r="W263" s="136"/>
      <c r="X263" s="136"/>
      <c r="Y263" s="136"/>
      <c r="Z263" s="136"/>
      <c r="AA263" s="136"/>
    </row>
    <row r="264" spans="3:27">
      <c r="C264" s="68"/>
      <c r="D264" s="68"/>
      <c r="E264" s="68"/>
      <c r="F264" s="133"/>
      <c r="G264" s="117" t="s">
        <v>701</v>
      </c>
      <c r="H264" s="118"/>
      <c r="I264" s="118"/>
      <c r="J264" s="118"/>
      <c r="K264" s="245"/>
      <c r="L264" s="241" t="str">
        <f>"無効"</f>
        <v>無効</v>
      </c>
      <c r="M264" s="136"/>
      <c r="N264" s="136"/>
      <c r="O264" s="136"/>
      <c r="P264" s="136"/>
      <c r="Q264" s="136"/>
      <c r="R264" s="136"/>
      <c r="S264" s="136"/>
      <c r="T264" s="136"/>
      <c r="U264" s="136"/>
      <c r="V264" s="136"/>
      <c r="W264" s="136"/>
      <c r="X264" s="136"/>
      <c r="Y264" s="136"/>
      <c r="Z264" s="136"/>
      <c r="AA264" s="136"/>
    </row>
    <row r="265" spans="3:27">
      <c r="C265" s="68"/>
      <c r="D265" s="68"/>
      <c r="E265" s="68"/>
      <c r="F265" s="133"/>
      <c r="G265" s="119" t="s">
        <v>702</v>
      </c>
      <c r="H265" s="120"/>
      <c r="I265" s="120"/>
      <c r="J265" s="120"/>
      <c r="K265" s="121"/>
      <c r="L265" s="242" t="str">
        <f>"無効"</f>
        <v>無効</v>
      </c>
      <c r="M265" s="136"/>
      <c r="N265" s="136"/>
      <c r="O265" s="136"/>
      <c r="P265" s="136"/>
      <c r="Q265" s="136"/>
      <c r="R265" s="136"/>
      <c r="S265" s="136"/>
      <c r="T265" s="136"/>
      <c r="U265" s="136"/>
      <c r="V265" s="136"/>
      <c r="W265" s="136"/>
      <c r="X265" s="136"/>
      <c r="Y265" s="136"/>
      <c r="Z265" s="136"/>
      <c r="AA265" s="136"/>
    </row>
    <row r="266" spans="3:27">
      <c r="C266" s="68"/>
      <c r="D266" s="68"/>
      <c r="E266" s="67" t="s">
        <v>620</v>
      </c>
      <c r="F266" s="114"/>
      <c r="G266" s="216" t="s">
        <v>134</v>
      </c>
      <c r="H266" s="217"/>
      <c r="I266" s="217"/>
      <c r="J266" s="217"/>
      <c r="K266" s="244"/>
      <c r="L266" s="178" t="str">
        <f>"DatadogAgent"</f>
        <v>DatadogAgent</v>
      </c>
      <c r="M266" s="136"/>
      <c r="N266" s="136"/>
      <c r="O266" s="136"/>
      <c r="P266" s="136"/>
      <c r="Q266" s="136"/>
      <c r="R266" s="136"/>
      <c r="S266" s="136"/>
      <c r="T266" s="136"/>
      <c r="U266" s="136"/>
      <c r="V266" s="136"/>
      <c r="W266" s="136"/>
      <c r="X266" s="136"/>
      <c r="Y266" s="136"/>
      <c r="Z266" s="136"/>
      <c r="AA266" s="136"/>
    </row>
    <row r="267" spans="3:27">
      <c r="C267" s="72"/>
      <c r="D267" s="68"/>
      <c r="E267" s="68"/>
      <c r="F267" s="218"/>
      <c r="G267" s="117" t="s">
        <v>135</v>
      </c>
      <c r="H267" s="118"/>
      <c r="I267" s="118"/>
      <c r="J267" s="118"/>
      <c r="K267" s="245"/>
      <c r="L267" s="246" t="str">
        <f>"RHEL"</f>
        <v>RHEL</v>
      </c>
      <c r="M267" s="136"/>
      <c r="N267" s="136"/>
      <c r="O267" s="136"/>
      <c r="P267" s="136"/>
      <c r="Q267" s="136"/>
      <c r="R267" s="136"/>
      <c r="S267" s="136"/>
      <c r="T267" s="136"/>
      <c r="U267" s="136"/>
      <c r="V267" s="136"/>
      <c r="W267" s="136"/>
      <c r="X267" s="136"/>
      <c r="Y267" s="136"/>
      <c r="Z267" s="136"/>
      <c r="AA267" s="136"/>
    </row>
    <row r="268" spans="3:27">
      <c r="C268" s="68"/>
      <c r="D268" s="68"/>
      <c r="E268" s="68"/>
      <c r="F268" s="218"/>
      <c r="G268" s="117" t="s">
        <v>700</v>
      </c>
      <c r="H268" s="118"/>
      <c r="I268" s="118"/>
      <c r="J268" s="118"/>
      <c r="K268" s="245"/>
      <c r="L268" s="241" t="str">
        <f>"有効"</f>
        <v>有効</v>
      </c>
      <c r="M268" s="136"/>
      <c r="N268" s="136"/>
      <c r="O268" s="136"/>
      <c r="P268" s="136"/>
      <c r="Q268" s="136"/>
      <c r="R268" s="136"/>
      <c r="S268" s="136"/>
      <c r="T268" s="136"/>
      <c r="U268" s="136"/>
      <c r="V268" s="136"/>
      <c r="W268" s="136"/>
      <c r="X268" s="136"/>
      <c r="Y268" s="136"/>
      <c r="Z268" s="136"/>
      <c r="AA268" s="136"/>
    </row>
    <row r="269" spans="3:27">
      <c r="C269" s="68"/>
      <c r="D269" s="68"/>
      <c r="E269" s="68"/>
      <c r="F269" s="133"/>
      <c r="G269" s="117" t="s">
        <v>701</v>
      </c>
      <c r="H269" s="118"/>
      <c r="I269" s="118"/>
      <c r="J269" s="118"/>
      <c r="K269" s="245"/>
      <c r="L269" s="241" t="str">
        <f>"無効"</f>
        <v>無効</v>
      </c>
      <c r="M269" s="136"/>
      <c r="N269" s="136"/>
      <c r="O269" s="136"/>
      <c r="P269" s="136"/>
      <c r="Q269" s="136"/>
      <c r="R269" s="136"/>
      <c r="S269" s="136"/>
      <c r="T269" s="136"/>
      <c r="U269" s="136"/>
      <c r="V269" s="136"/>
      <c r="W269" s="136"/>
      <c r="X269" s="136"/>
      <c r="Y269" s="136"/>
      <c r="Z269" s="136"/>
      <c r="AA269" s="136"/>
    </row>
    <row r="270" spans="3:27">
      <c r="C270" s="68"/>
      <c r="D270" s="68"/>
      <c r="E270" s="68"/>
      <c r="F270" s="133"/>
      <c r="G270" s="119" t="s">
        <v>702</v>
      </c>
      <c r="H270" s="120"/>
      <c r="I270" s="120"/>
      <c r="J270" s="120"/>
      <c r="K270" s="121"/>
      <c r="L270" s="242" t="str">
        <f>"無効"</f>
        <v>無効</v>
      </c>
      <c r="M270" s="136"/>
      <c r="N270" s="136"/>
      <c r="O270" s="136"/>
      <c r="P270" s="136"/>
      <c r="Q270" s="136"/>
      <c r="R270" s="136"/>
      <c r="S270" s="136"/>
      <c r="T270" s="136"/>
      <c r="U270" s="136"/>
      <c r="V270" s="136"/>
      <c r="W270" s="136"/>
      <c r="X270" s="136"/>
      <c r="Y270" s="136"/>
      <c r="Z270" s="136"/>
      <c r="AA270" s="136"/>
    </row>
    <row r="271" spans="3:27">
      <c r="C271" s="68"/>
      <c r="D271" s="68"/>
      <c r="E271" s="67" t="s">
        <v>1140</v>
      </c>
      <c r="F271" s="114"/>
      <c r="G271" s="216" t="s">
        <v>134</v>
      </c>
      <c r="H271" s="217"/>
      <c r="I271" s="217"/>
      <c r="J271" s="217"/>
      <c r="K271" s="244"/>
      <c r="L271" s="178" t="str">
        <f>"OS"</f>
        <v>OS</v>
      </c>
      <c r="M271" s="136"/>
      <c r="N271" s="136"/>
      <c r="O271" s="136"/>
      <c r="P271" s="136"/>
      <c r="Q271" s="136"/>
      <c r="R271" s="136"/>
      <c r="S271" s="136"/>
      <c r="T271" s="136"/>
      <c r="U271" s="136"/>
      <c r="V271" s="136"/>
      <c r="W271" s="136"/>
      <c r="X271" s="136"/>
      <c r="Y271" s="136"/>
      <c r="Z271" s="136"/>
      <c r="AA271" s="136"/>
    </row>
    <row r="272" spans="3:27">
      <c r="C272" s="72"/>
      <c r="D272" s="68"/>
      <c r="E272" s="68"/>
      <c r="F272" s="218"/>
      <c r="G272" s="117" t="s">
        <v>135</v>
      </c>
      <c r="H272" s="118"/>
      <c r="I272" s="118"/>
      <c r="J272" s="118"/>
      <c r="K272" s="245"/>
      <c r="L272" s="246" t="s">
        <v>1169</v>
      </c>
      <c r="M272" s="136"/>
      <c r="N272" s="136"/>
      <c r="O272" s="136"/>
      <c r="P272" s="136"/>
      <c r="Q272" s="136"/>
      <c r="R272" s="136"/>
      <c r="S272" s="136"/>
      <c r="T272" s="136"/>
      <c r="U272" s="136"/>
      <c r="V272" s="136"/>
      <c r="W272" s="136"/>
      <c r="X272" s="136"/>
      <c r="Y272" s="136"/>
      <c r="Z272" s="136"/>
      <c r="AA272" s="136"/>
    </row>
    <row r="273" spans="3:27">
      <c r="C273" s="68"/>
      <c r="D273" s="68"/>
      <c r="E273" s="68"/>
      <c r="F273" s="218"/>
      <c r="G273" s="117" t="s">
        <v>700</v>
      </c>
      <c r="H273" s="118"/>
      <c r="I273" s="118"/>
      <c r="J273" s="118"/>
      <c r="K273" s="245"/>
      <c r="L273" s="241" t="str">
        <f>"有効"</f>
        <v>有効</v>
      </c>
      <c r="M273" s="136"/>
      <c r="N273" s="136"/>
      <c r="O273" s="136"/>
      <c r="P273" s="136"/>
      <c r="Q273" s="136"/>
      <c r="R273" s="136"/>
      <c r="S273" s="136"/>
      <c r="T273" s="136"/>
      <c r="U273" s="136"/>
      <c r="V273" s="136"/>
      <c r="W273" s="136"/>
      <c r="X273" s="136"/>
      <c r="Y273" s="136"/>
      <c r="Z273" s="136"/>
      <c r="AA273" s="136"/>
    </row>
    <row r="274" spans="3:27">
      <c r="C274" s="68"/>
      <c r="D274" s="68"/>
      <c r="E274" s="68"/>
      <c r="F274" s="133"/>
      <c r="G274" s="117" t="s">
        <v>701</v>
      </c>
      <c r="H274" s="118"/>
      <c r="I274" s="118"/>
      <c r="J274" s="118"/>
      <c r="K274" s="245"/>
      <c r="L274" s="241" t="str">
        <f>"無効"</f>
        <v>無効</v>
      </c>
      <c r="M274" s="136"/>
      <c r="N274" s="136"/>
      <c r="O274" s="136"/>
      <c r="P274" s="136"/>
      <c r="Q274" s="136"/>
      <c r="R274" s="136"/>
      <c r="S274" s="136"/>
      <c r="T274" s="136"/>
      <c r="U274" s="136"/>
      <c r="V274" s="136"/>
      <c r="W274" s="136"/>
      <c r="X274" s="136"/>
      <c r="Y274" s="136"/>
      <c r="Z274" s="136"/>
      <c r="AA274" s="136"/>
    </row>
    <row r="275" spans="3:27">
      <c r="C275" s="68"/>
      <c r="D275" s="68"/>
      <c r="E275" s="68"/>
      <c r="F275" s="133"/>
      <c r="G275" s="119" t="s">
        <v>702</v>
      </c>
      <c r="H275" s="120"/>
      <c r="I275" s="120"/>
      <c r="J275" s="120"/>
      <c r="K275" s="121"/>
      <c r="L275" s="242" t="str">
        <f>"無効"</f>
        <v>無効</v>
      </c>
      <c r="M275" s="136"/>
      <c r="N275" s="136"/>
      <c r="O275" s="136"/>
      <c r="P275" s="136"/>
      <c r="Q275" s="136"/>
      <c r="R275" s="136"/>
      <c r="S275" s="136"/>
      <c r="T275" s="136"/>
      <c r="U275" s="136"/>
      <c r="V275" s="136"/>
      <c r="W275" s="136"/>
      <c r="X275" s="136"/>
      <c r="Y275" s="136"/>
      <c r="Z275" s="136"/>
      <c r="AA275" s="136"/>
    </row>
    <row r="276" spans="3:27">
      <c r="C276" s="72"/>
      <c r="D276" s="67" t="s">
        <v>675</v>
      </c>
      <c r="E276" s="114"/>
      <c r="F276" s="114"/>
      <c r="G276" s="114"/>
      <c r="H276" s="114"/>
      <c r="I276" s="114"/>
      <c r="J276" s="114"/>
      <c r="K276" s="114"/>
      <c r="L276" s="175"/>
      <c r="M276" s="136"/>
      <c r="N276" s="136"/>
      <c r="O276" s="136"/>
      <c r="P276" s="136"/>
      <c r="Q276" s="136"/>
      <c r="R276" s="136"/>
      <c r="S276" s="136"/>
      <c r="T276" s="136"/>
      <c r="U276" s="136"/>
      <c r="V276" s="136"/>
      <c r="W276" s="136"/>
      <c r="X276" s="136"/>
      <c r="Y276" s="136"/>
      <c r="Z276" s="136"/>
      <c r="AA276" s="136"/>
    </row>
    <row r="277" spans="3:27">
      <c r="C277" s="72"/>
      <c r="D277" s="68"/>
      <c r="E277" s="67" t="s">
        <v>670</v>
      </c>
      <c r="F277" s="114"/>
      <c r="G277" s="114"/>
      <c r="H277" s="114"/>
      <c r="I277" s="114"/>
      <c r="J277" s="114"/>
      <c r="K277" s="60"/>
      <c r="L277" s="224" t="s">
        <v>1175</v>
      </c>
      <c r="M277" s="136"/>
      <c r="N277" s="136"/>
      <c r="O277" s="136"/>
      <c r="P277" s="136"/>
      <c r="Q277" s="136"/>
      <c r="R277" s="136"/>
      <c r="S277" s="136"/>
      <c r="T277" s="136"/>
      <c r="U277" s="136"/>
      <c r="V277" s="136"/>
      <c r="W277" s="136"/>
      <c r="X277" s="136"/>
      <c r="Y277" s="136"/>
      <c r="Z277" s="136"/>
      <c r="AA277" s="136"/>
    </row>
    <row r="278" spans="3:27">
      <c r="C278" s="72"/>
      <c r="D278" s="68"/>
      <c r="E278" s="72"/>
      <c r="F278" s="67" t="s">
        <v>677</v>
      </c>
      <c r="G278" s="114"/>
      <c r="H278" s="114"/>
      <c r="I278" s="114"/>
      <c r="J278" s="114"/>
      <c r="K278" s="114"/>
      <c r="L278" s="175"/>
      <c r="M278" s="136"/>
      <c r="N278" s="136"/>
      <c r="O278" s="136"/>
      <c r="P278" s="136"/>
      <c r="Q278" s="136"/>
      <c r="R278" s="136"/>
      <c r="S278" s="136"/>
      <c r="T278" s="136"/>
      <c r="U278" s="136"/>
      <c r="V278" s="136"/>
      <c r="W278" s="136"/>
      <c r="X278" s="136"/>
      <c r="Y278" s="136"/>
      <c r="Z278" s="136"/>
      <c r="AA278" s="136"/>
    </row>
    <row r="279" spans="3:27">
      <c r="C279" s="72"/>
      <c r="D279" s="72"/>
      <c r="E279" s="72"/>
      <c r="F279" s="72"/>
      <c r="G279" s="116" t="s">
        <v>39</v>
      </c>
      <c r="H279" s="122"/>
      <c r="I279" s="122"/>
      <c r="J279" s="122"/>
      <c r="K279" s="182"/>
      <c r="L279" s="225"/>
      <c r="M279" s="136"/>
      <c r="N279" s="136"/>
      <c r="O279" s="136"/>
      <c r="P279" s="136"/>
      <c r="Q279" s="136"/>
      <c r="R279" s="136"/>
      <c r="S279" s="136"/>
      <c r="T279" s="136"/>
      <c r="U279" s="136"/>
      <c r="V279" s="136"/>
      <c r="W279" s="136"/>
      <c r="X279" s="136"/>
      <c r="Y279" s="136"/>
      <c r="Z279" s="136"/>
      <c r="AA279" s="136"/>
    </row>
    <row r="280" spans="3:27">
      <c r="C280" s="72"/>
      <c r="D280" s="72"/>
      <c r="E280" s="72"/>
      <c r="F280" s="73"/>
      <c r="G280" s="119" t="s">
        <v>59</v>
      </c>
      <c r="H280" s="120"/>
      <c r="I280" s="120"/>
      <c r="J280" s="120"/>
      <c r="K280" s="120"/>
      <c r="L280" s="226" t="str" cm="1">
        <f t="array" aca="1" ref="L280" ca="1">IF(L19="","※システム種類を入力してください。"&amp;"(セル：L"&amp;CELL("row",L19)&amp;")",
IF(L279="","※連番を入力してください。"&amp;"(セル：L"&amp;CELL("row",L279)&amp;")",
IF(L279&lt;&gt;"",L19&amp;"-sg-internal-"&amp;L279)))</f>
        <v>※システム種類を入力してください。(セル：L19)</v>
      </c>
      <c r="M280" s="136"/>
      <c r="N280" s="136"/>
      <c r="O280" s="136"/>
      <c r="P280" s="136"/>
      <c r="Q280" s="136"/>
      <c r="R280" s="136"/>
      <c r="S280" s="136"/>
      <c r="T280" s="136"/>
      <c r="U280" s="136"/>
      <c r="V280" s="136"/>
      <c r="W280" s="136"/>
      <c r="X280" s="136"/>
      <c r="Y280" s="136"/>
      <c r="Z280" s="136"/>
      <c r="AA280" s="136"/>
    </row>
    <row r="281" spans="3:27">
      <c r="C281" s="72"/>
      <c r="D281" s="68"/>
      <c r="E281" s="72"/>
      <c r="F281" s="67" t="s">
        <v>704</v>
      </c>
      <c r="G281" s="114"/>
      <c r="H281" s="114"/>
      <c r="I281" s="114"/>
      <c r="J281" s="114"/>
      <c r="K281" s="114"/>
      <c r="L281" s="175"/>
      <c r="M281" s="136"/>
      <c r="N281" s="136"/>
      <c r="O281" s="136"/>
      <c r="P281" s="136"/>
      <c r="Q281" s="136"/>
      <c r="R281" s="136"/>
      <c r="S281" s="136"/>
      <c r="T281" s="136"/>
      <c r="U281" s="136"/>
      <c r="V281" s="136"/>
      <c r="W281" s="136"/>
      <c r="X281" s="136"/>
      <c r="Y281" s="136"/>
      <c r="Z281" s="136"/>
      <c r="AA281" s="136"/>
    </row>
    <row r="282" spans="3:27">
      <c r="C282" s="72"/>
      <c r="D282" s="72"/>
      <c r="E282" s="72"/>
      <c r="F282" s="73"/>
      <c r="G282" s="65" t="s">
        <v>137</v>
      </c>
      <c r="H282" s="58"/>
      <c r="I282" s="58"/>
      <c r="J282" s="58"/>
      <c r="K282" s="60"/>
      <c r="L282" s="247" t="str">
        <f>"なし"</f>
        <v>なし</v>
      </c>
      <c r="M282" s="136"/>
      <c r="N282" s="136"/>
      <c r="O282" s="136"/>
      <c r="P282" s="136"/>
      <c r="Q282" s="136"/>
      <c r="R282" s="136"/>
      <c r="S282" s="136"/>
      <c r="T282" s="136"/>
      <c r="U282" s="136"/>
      <c r="V282" s="136"/>
      <c r="W282" s="136"/>
      <c r="X282" s="136"/>
      <c r="Y282" s="136"/>
      <c r="Z282" s="136"/>
      <c r="AA282" s="136"/>
    </row>
    <row r="283" spans="3:27">
      <c r="C283" s="72"/>
      <c r="D283" s="67" t="s">
        <v>676</v>
      </c>
      <c r="E283" s="114"/>
      <c r="F283" s="114"/>
      <c r="G283" s="114"/>
      <c r="H283" s="114"/>
      <c r="I283" s="114"/>
      <c r="J283" s="114"/>
      <c r="K283" s="114"/>
      <c r="L283" s="175"/>
      <c r="M283" s="136"/>
      <c r="N283" s="136"/>
      <c r="O283" s="136"/>
      <c r="P283" s="136"/>
      <c r="Q283" s="136"/>
      <c r="R283" s="136"/>
      <c r="S283" s="136"/>
      <c r="T283" s="136"/>
      <c r="U283" s="136"/>
      <c r="V283" s="136"/>
      <c r="W283" s="136"/>
      <c r="X283" s="136"/>
      <c r="Y283" s="136"/>
      <c r="Z283" s="136"/>
      <c r="AA283" s="136"/>
    </row>
    <row r="284" spans="3:27">
      <c r="C284" s="72"/>
      <c r="D284" s="68"/>
      <c r="E284" s="65" t="s">
        <v>698</v>
      </c>
      <c r="F284" s="114"/>
      <c r="G284" s="114"/>
      <c r="H284" s="114"/>
      <c r="I284" s="114"/>
      <c r="J284" s="114"/>
      <c r="K284" s="164"/>
      <c r="L284" s="224" t="s">
        <v>1176</v>
      </c>
      <c r="M284" s="136"/>
      <c r="N284" s="136"/>
      <c r="O284" s="136"/>
      <c r="P284" s="136"/>
      <c r="Q284" s="136"/>
      <c r="R284" s="136"/>
      <c r="S284" s="136"/>
      <c r="T284" s="136"/>
      <c r="U284" s="136"/>
      <c r="V284" s="136"/>
      <c r="W284" s="136"/>
      <c r="X284" s="136"/>
      <c r="Y284" s="136"/>
      <c r="Z284" s="136"/>
      <c r="AA284" s="136"/>
    </row>
    <row r="285" spans="3:27">
      <c r="C285" s="72"/>
      <c r="D285" s="68"/>
      <c r="E285" s="65" t="s">
        <v>699</v>
      </c>
      <c r="F285" s="114"/>
      <c r="G285" s="114"/>
      <c r="H285" s="114"/>
      <c r="I285" s="114"/>
      <c r="J285" s="114"/>
      <c r="K285" s="60"/>
      <c r="L285" s="204" t="str">
        <f>IF(L284="既存のキーペアの選択","-","RSA")</f>
        <v>RSA</v>
      </c>
      <c r="M285" s="136"/>
      <c r="N285" s="136"/>
      <c r="O285" s="136"/>
      <c r="P285" s="136"/>
      <c r="Q285" s="136"/>
      <c r="R285" s="136"/>
      <c r="S285" s="136"/>
      <c r="T285" s="136"/>
      <c r="U285" s="136"/>
      <c r="V285" s="136"/>
      <c r="W285" s="136"/>
      <c r="X285" s="136"/>
      <c r="Y285" s="136"/>
      <c r="Z285" s="136"/>
      <c r="AA285" s="136"/>
    </row>
    <row r="286" spans="3:27">
      <c r="C286" s="73"/>
      <c r="D286" s="73"/>
      <c r="E286" s="65" t="s">
        <v>64</v>
      </c>
      <c r="F286" s="58"/>
      <c r="G286" s="58"/>
      <c r="H286" s="58"/>
      <c r="I286" s="58"/>
      <c r="J286" s="58"/>
      <c r="K286" s="58"/>
      <c r="L286" s="203"/>
      <c r="M286" s="136"/>
      <c r="N286" s="136"/>
      <c r="O286" s="136"/>
      <c r="P286" s="136"/>
      <c r="Q286" s="136"/>
      <c r="R286" s="136"/>
      <c r="S286" s="136"/>
      <c r="T286" s="136"/>
      <c r="U286" s="136"/>
      <c r="V286" s="136"/>
      <c r="W286" s="136"/>
      <c r="X286" s="136"/>
      <c r="Y286" s="136"/>
      <c r="Z286" s="136"/>
      <c r="AA286" s="136"/>
    </row>
    <row r="287" spans="3:27">
      <c r="C287" s="67" t="s">
        <v>153</v>
      </c>
      <c r="D287" s="114"/>
      <c r="E287" s="114"/>
      <c r="F287" s="114"/>
      <c r="G287" s="114"/>
      <c r="H287" s="114"/>
      <c r="I287" s="114"/>
      <c r="J287" s="114"/>
      <c r="K287" s="114"/>
      <c r="L287" s="175"/>
      <c r="M287" s="136"/>
      <c r="N287" s="136"/>
      <c r="O287" s="136"/>
      <c r="P287" s="136"/>
      <c r="Q287" s="136"/>
      <c r="R287" s="136"/>
      <c r="S287" s="136"/>
      <c r="T287" s="136"/>
      <c r="U287" s="136"/>
      <c r="V287" s="136"/>
      <c r="W287" s="136"/>
      <c r="X287" s="136"/>
      <c r="Y287" s="136"/>
      <c r="Z287" s="136"/>
      <c r="AA287" s="136"/>
    </row>
    <row r="288" spans="3:27">
      <c r="C288" s="68"/>
      <c r="D288" s="67" t="s">
        <v>643</v>
      </c>
      <c r="E288" s="114"/>
      <c r="F288" s="114"/>
      <c r="G288" s="114"/>
      <c r="H288" s="114"/>
      <c r="I288" s="114"/>
      <c r="J288" s="114"/>
      <c r="K288" s="114"/>
      <c r="L288" s="175"/>
      <c r="M288" s="136"/>
      <c r="N288" s="136"/>
      <c r="O288" s="136"/>
      <c r="P288" s="136"/>
      <c r="Q288" s="136"/>
      <c r="R288" s="136"/>
      <c r="S288" s="136"/>
      <c r="T288" s="136"/>
      <c r="U288" s="136"/>
      <c r="V288" s="136"/>
      <c r="W288" s="136"/>
      <c r="X288" s="136"/>
      <c r="Y288" s="136"/>
      <c r="Z288" s="136"/>
      <c r="AA288" s="136"/>
    </row>
    <row r="289" spans="3:27">
      <c r="C289" s="68"/>
      <c r="D289" s="72"/>
      <c r="E289" s="65" t="s">
        <v>40</v>
      </c>
      <c r="F289" s="58"/>
      <c r="G289" s="58"/>
      <c r="H289" s="58"/>
      <c r="I289" s="58"/>
      <c r="J289" s="58"/>
      <c r="K289" s="58"/>
      <c r="L289" s="228"/>
      <c r="M289" s="136"/>
      <c r="N289" s="136"/>
      <c r="O289" s="136"/>
      <c r="P289" s="136"/>
      <c r="Q289" s="136"/>
      <c r="R289" s="136"/>
      <c r="S289" s="136"/>
      <c r="T289" s="136"/>
      <c r="U289" s="136"/>
      <c r="V289" s="136"/>
      <c r="W289" s="136"/>
      <c r="X289" s="136"/>
      <c r="Y289" s="136"/>
      <c r="Z289" s="136"/>
      <c r="AA289" s="136"/>
    </row>
    <row r="290" spans="3:27">
      <c r="C290" s="68"/>
      <c r="D290" s="72"/>
      <c r="E290" s="67" t="s">
        <v>54</v>
      </c>
      <c r="F290" s="114"/>
      <c r="G290" s="114"/>
      <c r="H290" s="114"/>
      <c r="I290" s="114"/>
      <c r="J290" s="114"/>
      <c r="K290" s="164"/>
      <c r="L290" s="234" t="str">
        <f>L129</f>
        <v>有効</v>
      </c>
      <c r="M290" s="136"/>
      <c r="N290" s="136"/>
      <c r="O290" s="136"/>
      <c r="P290" s="136"/>
      <c r="Q290" s="136"/>
      <c r="R290" s="136"/>
      <c r="S290" s="136"/>
      <c r="T290" s="136"/>
      <c r="U290" s="136"/>
      <c r="V290" s="136"/>
      <c r="W290" s="136"/>
      <c r="X290" s="136"/>
      <c r="Y290" s="136"/>
      <c r="Z290" s="136"/>
      <c r="AA290" s="136"/>
    </row>
    <row r="291" spans="3:27">
      <c r="C291" s="68"/>
      <c r="D291" s="73"/>
      <c r="E291" s="67" t="s">
        <v>664</v>
      </c>
      <c r="F291" s="114"/>
      <c r="G291" s="114"/>
      <c r="H291" s="114"/>
      <c r="I291" s="114"/>
      <c r="J291" s="114"/>
      <c r="K291" s="164"/>
      <c r="L291" s="234" t="str">
        <f>IF(L130="共有 - 共有ハードウェアインスタンスの実行","Default",
IF(L130="専用 - 専用ハードウェアインスタンスの実行","Dedicated Instance",
IF(L130="専有ホスト - このインスタンスを専有ホスト上で起動","Dedicated Host")))</f>
        <v>Default</v>
      </c>
      <c r="M291" s="136"/>
      <c r="N291" s="136"/>
      <c r="O291" s="136"/>
      <c r="P291" s="136"/>
      <c r="Q291" s="136"/>
      <c r="R291" s="136"/>
      <c r="S291" s="136"/>
      <c r="T291" s="136"/>
      <c r="U291" s="136"/>
      <c r="V291" s="136"/>
      <c r="W291" s="136"/>
      <c r="X291" s="136"/>
      <c r="Y291" s="136"/>
      <c r="Z291" s="136"/>
      <c r="AA291" s="136"/>
    </row>
    <row r="292" spans="3:27">
      <c r="C292" s="72"/>
      <c r="D292" s="71" t="s">
        <v>644</v>
      </c>
      <c r="E292" s="114"/>
      <c r="F292" s="114"/>
      <c r="G292" s="114"/>
      <c r="H292" s="114"/>
      <c r="I292" s="114"/>
      <c r="J292" s="114"/>
      <c r="K292" s="114"/>
      <c r="L292" s="223"/>
      <c r="M292" s="136"/>
      <c r="N292" s="136"/>
      <c r="O292" s="136"/>
      <c r="P292" s="136"/>
      <c r="Q292" s="136"/>
      <c r="R292" s="136"/>
      <c r="S292" s="136"/>
      <c r="T292" s="136"/>
      <c r="U292" s="136"/>
      <c r="V292" s="136"/>
      <c r="W292" s="136"/>
      <c r="X292" s="136"/>
      <c r="Y292" s="136"/>
      <c r="Z292" s="136"/>
      <c r="AA292" s="136"/>
    </row>
    <row r="293" spans="3:27">
      <c r="C293" s="68"/>
      <c r="D293" s="68"/>
      <c r="E293" s="116" t="s">
        <v>23</v>
      </c>
      <c r="F293" s="122"/>
      <c r="G293" s="122"/>
      <c r="H293" s="122"/>
      <c r="I293" s="122"/>
      <c r="J293" s="122"/>
      <c r="K293" s="122"/>
      <c r="L293" s="229"/>
      <c r="M293" s="136"/>
      <c r="N293" s="136"/>
      <c r="O293" s="136"/>
      <c r="P293" s="136"/>
      <c r="Q293" s="136"/>
      <c r="R293" s="136"/>
      <c r="S293" s="136"/>
      <c r="T293" s="136"/>
      <c r="U293" s="136"/>
      <c r="V293" s="136"/>
      <c r="W293" s="136"/>
      <c r="X293" s="136"/>
      <c r="Y293" s="136"/>
      <c r="Z293" s="136"/>
      <c r="AA293" s="136"/>
    </row>
    <row r="294" spans="3:27">
      <c r="C294" s="68"/>
      <c r="D294" s="68"/>
      <c r="E294" s="117" t="s">
        <v>621</v>
      </c>
      <c r="F294" s="118"/>
      <c r="G294" s="118"/>
      <c r="H294" s="118"/>
      <c r="I294" s="118"/>
      <c r="J294" s="118"/>
      <c r="K294" s="118"/>
      <c r="L294" s="214" t="e">
        <f>I132&amp;L132</f>
        <v>#VALUE!</v>
      </c>
      <c r="M294" s="136"/>
      <c r="N294" s="136"/>
      <c r="O294" s="136"/>
      <c r="P294" s="136"/>
      <c r="Q294" s="136"/>
      <c r="R294" s="136"/>
      <c r="S294" s="136"/>
      <c r="T294" s="136"/>
      <c r="U294" s="136"/>
      <c r="V294" s="136"/>
      <c r="W294" s="136"/>
      <c r="X294" s="136"/>
      <c r="Y294" s="136"/>
      <c r="Z294" s="136"/>
      <c r="AA294" s="136"/>
    </row>
    <row r="295" spans="3:27">
      <c r="C295" s="68"/>
      <c r="D295" s="68"/>
      <c r="E295" s="117" t="s">
        <v>626</v>
      </c>
      <c r="F295" s="131"/>
      <c r="G295" s="131"/>
      <c r="H295" s="131"/>
      <c r="I295" s="131"/>
      <c r="J295" s="131"/>
      <c r="K295" s="131"/>
      <c r="L295" s="214" t="str">
        <f>IF(L133="","-",I133&amp;L133)</f>
        <v>-</v>
      </c>
      <c r="M295" s="136"/>
      <c r="N295" s="136"/>
      <c r="O295" s="136"/>
      <c r="P295" s="136"/>
      <c r="Q295" s="136"/>
      <c r="R295" s="136"/>
      <c r="S295" s="136"/>
      <c r="T295" s="136"/>
      <c r="U295" s="136"/>
      <c r="V295" s="136"/>
      <c r="W295" s="136"/>
      <c r="X295" s="136"/>
      <c r="Y295" s="136"/>
      <c r="Z295" s="136"/>
      <c r="AA295" s="136"/>
    </row>
    <row r="296" spans="3:27">
      <c r="C296" s="68"/>
      <c r="D296" s="68"/>
      <c r="E296" s="119" t="s">
        <v>25</v>
      </c>
      <c r="F296" s="120"/>
      <c r="G296" s="120"/>
      <c r="H296" s="120"/>
      <c r="I296" s="120"/>
      <c r="J296" s="120"/>
      <c r="K296" s="120"/>
      <c r="L296" s="232"/>
      <c r="M296" s="136"/>
      <c r="N296" s="136"/>
      <c r="O296" s="136"/>
      <c r="P296" s="136"/>
      <c r="Q296" s="136"/>
      <c r="R296" s="136"/>
      <c r="S296" s="136"/>
      <c r="T296" s="136"/>
      <c r="U296" s="136"/>
      <c r="V296" s="136"/>
      <c r="W296" s="136"/>
      <c r="X296" s="136"/>
      <c r="Y296" s="136"/>
      <c r="Z296" s="136"/>
      <c r="AA296" s="136"/>
    </row>
    <row r="297" spans="3:27">
      <c r="C297" s="68"/>
      <c r="D297" s="67" t="s">
        <v>645</v>
      </c>
      <c r="E297" s="114"/>
      <c r="F297" s="114"/>
      <c r="G297" s="114"/>
      <c r="H297" s="114"/>
      <c r="I297" s="114"/>
      <c r="J297" s="114"/>
      <c r="K297" s="114"/>
      <c r="L297" s="175"/>
      <c r="M297" s="136"/>
      <c r="N297" s="136"/>
      <c r="O297" s="136"/>
      <c r="P297" s="136"/>
      <c r="Q297" s="136"/>
      <c r="R297" s="136"/>
      <c r="S297" s="136"/>
      <c r="T297" s="136"/>
      <c r="U297" s="136"/>
      <c r="V297" s="136"/>
      <c r="W297" s="136"/>
      <c r="X297" s="136"/>
      <c r="Y297" s="136"/>
      <c r="Z297" s="136"/>
      <c r="AA297" s="136"/>
    </row>
    <row r="298" spans="3:27">
      <c r="C298" s="68"/>
      <c r="D298" s="72"/>
      <c r="E298" s="114" t="s">
        <v>646</v>
      </c>
      <c r="F298" s="114"/>
      <c r="G298" s="114"/>
      <c r="H298" s="114"/>
      <c r="I298" s="114"/>
      <c r="J298" s="114"/>
      <c r="K298" s="114"/>
      <c r="L298" s="175"/>
      <c r="M298" s="136"/>
      <c r="N298" s="136"/>
      <c r="O298" s="136"/>
      <c r="P298" s="136"/>
      <c r="Q298" s="136"/>
      <c r="R298" s="136"/>
      <c r="S298" s="136"/>
      <c r="T298" s="136"/>
      <c r="U298" s="136"/>
      <c r="V298" s="136"/>
      <c r="W298" s="136"/>
      <c r="X298" s="136"/>
      <c r="Y298" s="136"/>
      <c r="Z298" s="136"/>
      <c r="AA298" s="136"/>
    </row>
    <row r="299" spans="3:27">
      <c r="C299" s="68"/>
      <c r="D299" s="72"/>
      <c r="E299" s="72"/>
      <c r="F299" s="114" t="s">
        <v>661</v>
      </c>
      <c r="G299" s="114"/>
      <c r="H299" s="114"/>
      <c r="I299" s="114"/>
      <c r="J299" s="114"/>
      <c r="K299" s="164"/>
      <c r="L299" s="210">
        <f>L136</f>
        <v>0</v>
      </c>
      <c r="M299" s="136"/>
      <c r="N299" s="136"/>
      <c r="O299" s="136"/>
      <c r="P299" s="136"/>
      <c r="Q299" s="136"/>
      <c r="R299" s="136"/>
      <c r="S299" s="136"/>
      <c r="T299" s="136"/>
      <c r="U299" s="136"/>
      <c r="V299" s="136"/>
      <c r="W299" s="136"/>
      <c r="X299" s="136"/>
      <c r="Y299" s="136"/>
      <c r="Z299" s="136"/>
      <c r="AA299" s="136"/>
    </row>
    <row r="300" spans="3:27">
      <c r="C300" s="68"/>
      <c r="D300" s="72"/>
      <c r="E300" s="72"/>
      <c r="F300" s="114" t="s">
        <v>660</v>
      </c>
      <c r="G300" s="114"/>
      <c r="H300" s="114"/>
      <c r="I300" s="114"/>
      <c r="J300" s="114"/>
      <c r="K300" s="164"/>
      <c r="L300" s="239" t="str">
        <f>L137</f>
        <v>/dev/sda1</v>
      </c>
      <c r="M300" s="136"/>
      <c r="N300" s="136"/>
      <c r="O300" s="136"/>
      <c r="P300" s="136"/>
      <c r="Q300" s="136"/>
      <c r="R300" s="136"/>
      <c r="S300" s="136"/>
      <c r="T300" s="136"/>
      <c r="U300" s="136"/>
      <c r="V300" s="136"/>
      <c r="W300" s="136"/>
      <c r="X300" s="136"/>
      <c r="Y300" s="136"/>
      <c r="Z300" s="136"/>
      <c r="AA300" s="136"/>
    </row>
    <row r="301" spans="3:27">
      <c r="C301" s="68"/>
      <c r="D301" s="72"/>
      <c r="E301" s="72"/>
      <c r="F301" s="114" t="s">
        <v>647</v>
      </c>
      <c r="G301" s="114"/>
      <c r="H301" s="114"/>
      <c r="I301" s="114"/>
      <c r="J301" s="114"/>
      <c r="K301" s="164"/>
      <c r="L301" s="228"/>
      <c r="M301" s="136"/>
      <c r="N301" s="136"/>
      <c r="O301" s="136"/>
      <c r="P301" s="136"/>
      <c r="Q301" s="136"/>
      <c r="R301" s="136"/>
      <c r="S301" s="136"/>
      <c r="T301" s="136"/>
      <c r="U301" s="136"/>
      <c r="V301" s="136"/>
      <c r="W301" s="136"/>
      <c r="X301" s="136"/>
      <c r="Y301" s="136"/>
      <c r="Z301" s="136"/>
      <c r="AA301" s="136"/>
    </row>
    <row r="302" spans="3:27">
      <c r="C302" s="68"/>
      <c r="D302" s="72"/>
      <c r="E302" s="72"/>
      <c r="F302" s="114" t="s">
        <v>665</v>
      </c>
      <c r="G302" s="114"/>
      <c r="H302" s="114"/>
      <c r="I302" s="114"/>
      <c r="J302" s="114"/>
      <c r="K302" s="164"/>
      <c r="L302" s="239" t="str">
        <f>"暗号化済み"</f>
        <v>暗号化済み</v>
      </c>
      <c r="M302" s="136"/>
      <c r="N302" s="136"/>
      <c r="O302" s="136"/>
      <c r="P302" s="136"/>
      <c r="Q302" s="136"/>
      <c r="R302" s="136"/>
      <c r="S302" s="136"/>
      <c r="T302" s="136"/>
      <c r="U302" s="136"/>
      <c r="V302" s="136"/>
      <c r="W302" s="136"/>
      <c r="X302" s="136"/>
      <c r="Y302" s="136"/>
      <c r="Z302" s="136"/>
      <c r="AA302" s="136"/>
    </row>
    <row r="303" spans="3:27">
      <c r="C303" s="68"/>
      <c r="D303" s="72"/>
      <c r="E303" s="72"/>
      <c r="F303" s="134" t="s">
        <v>648</v>
      </c>
      <c r="G303" s="114"/>
      <c r="H303" s="164"/>
      <c r="I303" s="116" t="s">
        <v>649</v>
      </c>
      <c r="J303" s="122"/>
      <c r="K303" s="182"/>
      <c r="L303" s="178" t="str">
        <f ca="1">IF(L299="","",
IF(L231="HostName","Name",
IF(LEFT(L231,1)="※",L231)))</f>
        <v>※ランドスケープを選択してください。(セル：L11)</v>
      </c>
      <c r="M303" s="136"/>
      <c r="N303" s="136"/>
      <c r="O303" s="136"/>
      <c r="P303" s="136"/>
      <c r="Q303" s="136"/>
      <c r="R303" s="136"/>
      <c r="S303" s="136"/>
      <c r="T303" s="136"/>
      <c r="U303" s="136"/>
      <c r="V303" s="136"/>
      <c r="W303" s="136"/>
      <c r="X303" s="136"/>
      <c r="Y303" s="136"/>
      <c r="Z303" s="136"/>
      <c r="AA303" s="136"/>
    </row>
    <row r="304" spans="3:27">
      <c r="C304" s="68"/>
      <c r="D304" s="72"/>
      <c r="E304" s="72"/>
      <c r="F304" s="237"/>
      <c r="G304" s="123"/>
      <c r="H304" s="219"/>
      <c r="I304" s="119" t="s">
        <v>135</v>
      </c>
      <c r="J304" s="120"/>
      <c r="K304" s="121"/>
      <c r="L304" s="238" t="s">
        <v>1170</v>
      </c>
      <c r="M304" s="136"/>
      <c r="N304" s="136"/>
      <c r="O304" s="136"/>
      <c r="P304" s="136"/>
      <c r="Q304" s="136"/>
      <c r="R304" s="136"/>
      <c r="S304" s="136"/>
      <c r="T304" s="136"/>
      <c r="U304" s="136"/>
      <c r="V304" s="136"/>
      <c r="W304" s="136"/>
      <c r="X304" s="136"/>
      <c r="Y304" s="136"/>
      <c r="Z304" s="136"/>
      <c r="AA304" s="136"/>
    </row>
    <row r="305" spans="3:27">
      <c r="C305" s="68"/>
      <c r="D305" s="72"/>
      <c r="E305" s="72"/>
      <c r="F305" s="134" t="s">
        <v>650</v>
      </c>
      <c r="G305" s="114"/>
      <c r="H305" s="164"/>
      <c r="I305" s="116" t="s">
        <v>649</v>
      </c>
      <c r="J305" s="122"/>
      <c r="K305" s="182"/>
      <c r="L305" s="178" t="str">
        <f ca="1">IF(LEFT(L231,1)="※",L231,"VolumeName")</f>
        <v>※ランドスケープを選択してください。(セル：L11)</v>
      </c>
      <c r="M305" s="136"/>
      <c r="N305" s="136"/>
      <c r="O305" s="136"/>
      <c r="P305" s="136"/>
      <c r="Q305" s="136"/>
      <c r="R305" s="136"/>
      <c r="S305" s="136"/>
      <c r="T305" s="136"/>
      <c r="U305" s="136"/>
      <c r="V305" s="136"/>
      <c r="W305" s="136"/>
      <c r="X305" s="136"/>
      <c r="Y305" s="136"/>
      <c r="Z305" s="136"/>
      <c r="AA305" s="136"/>
    </row>
    <row r="306" spans="3:27">
      <c r="C306" s="68"/>
      <c r="D306" s="72"/>
      <c r="E306" s="72"/>
      <c r="F306" s="237"/>
      <c r="G306" s="123"/>
      <c r="H306" s="219"/>
      <c r="I306" s="119" t="s">
        <v>135</v>
      </c>
      <c r="J306" s="120"/>
      <c r="K306" s="121"/>
      <c r="L306" s="238" t="s">
        <v>1170</v>
      </c>
      <c r="M306" s="136"/>
      <c r="N306" s="136"/>
      <c r="O306" s="136"/>
      <c r="P306" s="136"/>
      <c r="Q306" s="136"/>
      <c r="R306" s="136"/>
      <c r="S306" s="136"/>
      <c r="T306" s="136"/>
      <c r="U306" s="136"/>
      <c r="V306" s="136"/>
      <c r="W306" s="136"/>
      <c r="X306" s="136"/>
      <c r="Y306" s="136"/>
      <c r="Z306" s="136"/>
      <c r="AA306" s="136"/>
    </row>
    <row r="307" spans="3:27">
      <c r="C307" s="68"/>
      <c r="D307" s="72"/>
      <c r="E307" s="72"/>
      <c r="F307" s="134" t="s">
        <v>215</v>
      </c>
      <c r="G307" s="114"/>
      <c r="H307" s="164"/>
      <c r="I307" s="116" t="s">
        <v>649</v>
      </c>
      <c r="J307" s="122"/>
      <c r="K307" s="182"/>
      <c r="L307" s="178" t="str">
        <f ca="1">IF(LEFT(L236,1)="※",L236,"System")</f>
        <v>※システム種類を入力してください。(セル：L19)</v>
      </c>
      <c r="M307" s="136"/>
      <c r="N307" s="136"/>
      <c r="O307" s="136"/>
      <c r="P307" s="136"/>
      <c r="Q307" s="136"/>
      <c r="R307" s="136"/>
      <c r="S307" s="136"/>
      <c r="T307" s="136"/>
      <c r="U307" s="136"/>
      <c r="V307" s="136"/>
      <c r="W307" s="136"/>
      <c r="X307" s="136"/>
      <c r="Y307" s="136"/>
      <c r="Z307" s="136"/>
      <c r="AA307" s="136"/>
    </row>
    <row r="308" spans="3:27">
      <c r="C308" s="68"/>
      <c r="D308" s="72"/>
      <c r="E308" s="72"/>
      <c r="F308" s="237"/>
      <c r="G308" s="123"/>
      <c r="H308" s="219"/>
      <c r="I308" s="119" t="s">
        <v>135</v>
      </c>
      <c r="J308" s="120"/>
      <c r="K308" s="121"/>
      <c r="L308" s="238" t="str">
        <f ca="1">IF(L307="System",L237,L307)</f>
        <v>※システム種類を入力してください。(セル：L19)</v>
      </c>
      <c r="M308" s="136"/>
      <c r="N308" s="136"/>
      <c r="O308" s="136"/>
      <c r="P308" s="136"/>
      <c r="Q308" s="136"/>
      <c r="R308" s="136"/>
      <c r="S308" s="136"/>
      <c r="T308" s="136"/>
      <c r="U308" s="136"/>
      <c r="V308" s="136"/>
      <c r="W308" s="136"/>
      <c r="X308" s="136"/>
      <c r="Y308" s="136"/>
      <c r="Z308" s="136"/>
      <c r="AA308" s="136"/>
    </row>
    <row r="309" spans="3:27">
      <c r="C309" s="68"/>
      <c r="D309" s="72"/>
      <c r="E309" s="72"/>
      <c r="F309" s="134" t="s">
        <v>216</v>
      </c>
      <c r="G309" s="114"/>
      <c r="H309" s="164"/>
      <c r="I309" s="116" t="s">
        <v>649</v>
      </c>
      <c r="J309" s="122"/>
      <c r="K309" s="182"/>
      <c r="L309" s="178" t="str" cm="1">
        <f t="array" aca="1" ref="L309" ca="1">IF(LEN($L$26)&lt;2,"-",
IF($L$27="","※部門コードを入力してください。"&amp;"(セル：L"&amp;CELL("row",$L$27)&amp;")",
IF(AND($L$26&lt;&gt;"",$L$27&lt;&gt;""),"CostAllocation")))</f>
        <v>-</v>
      </c>
      <c r="M309" s="136"/>
      <c r="N309" s="136"/>
      <c r="O309" s="136"/>
      <c r="P309" s="136"/>
      <c r="Q309" s="136"/>
      <c r="R309" s="136"/>
      <c r="S309" s="136"/>
      <c r="T309" s="136"/>
      <c r="U309" s="136"/>
      <c r="V309" s="136"/>
      <c r="W309" s="136"/>
      <c r="X309" s="136"/>
      <c r="Y309" s="136"/>
      <c r="Z309" s="136"/>
      <c r="AA309" s="136"/>
    </row>
    <row r="310" spans="3:27">
      <c r="C310" s="68"/>
      <c r="D310" s="72"/>
      <c r="E310" s="72"/>
      <c r="F310" s="237"/>
      <c r="G310" s="123"/>
      <c r="H310" s="219"/>
      <c r="I310" s="119" t="s">
        <v>135</v>
      </c>
      <c r="J310" s="120"/>
      <c r="K310" s="121"/>
      <c r="L310" s="246" t="str">
        <f ca="1">IF(L309="CostAllocation",$L$26&amp;"-"&amp;$L$27,L309)</f>
        <v>-</v>
      </c>
      <c r="M310" s="136"/>
      <c r="N310" s="136"/>
      <c r="O310" s="136"/>
      <c r="P310" s="136"/>
      <c r="Q310" s="136"/>
      <c r="R310" s="136"/>
      <c r="S310" s="136"/>
      <c r="T310" s="136"/>
      <c r="U310" s="136"/>
      <c r="V310" s="136"/>
      <c r="W310" s="136"/>
      <c r="X310" s="136"/>
      <c r="Y310" s="136"/>
      <c r="Z310" s="136"/>
      <c r="AA310" s="136"/>
    </row>
    <row r="311" spans="3:27">
      <c r="C311" s="68"/>
      <c r="D311" s="72"/>
      <c r="E311" s="72"/>
      <c r="F311" s="134" t="s">
        <v>622</v>
      </c>
      <c r="G311" s="114"/>
      <c r="H311" s="164"/>
      <c r="I311" s="116" t="s">
        <v>649</v>
      </c>
      <c r="J311" s="122"/>
      <c r="K311" s="182"/>
      <c r="L311" s="178" t="str">
        <f ca="1">L231</f>
        <v>※ランドスケープを選択してください。(セル：L11)</v>
      </c>
      <c r="M311" s="136"/>
      <c r="N311" s="136"/>
      <c r="O311" s="136"/>
      <c r="P311" s="136"/>
      <c r="Q311" s="136"/>
      <c r="R311" s="136"/>
      <c r="S311" s="136"/>
      <c r="T311" s="136"/>
      <c r="U311" s="136"/>
      <c r="V311" s="136"/>
      <c r="W311" s="136"/>
      <c r="X311" s="136"/>
      <c r="Y311" s="136"/>
      <c r="Z311" s="136"/>
      <c r="AA311" s="136"/>
    </row>
    <row r="312" spans="3:27">
      <c r="C312" s="68"/>
      <c r="D312" s="72"/>
      <c r="E312" s="72"/>
      <c r="F312" s="237"/>
      <c r="G312" s="123"/>
      <c r="H312" s="219"/>
      <c r="I312" s="119" t="s">
        <v>135</v>
      </c>
      <c r="J312" s="120"/>
      <c r="K312" s="121"/>
      <c r="L312" s="246" t="str">
        <f ca="1">L227</f>
        <v>※ランドスケープを選択してください。(セル：L11)</v>
      </c>
      <c r="M312" s="136"/>
      <c r="N312" s="136"/>
      <c r="O312" s="136"/>
      <c r="P312" s="136"/>
      <c r="Q312" s="136"/>
      <c r="R312" s="136"/>
      <c r="S312" s="136"/>
      <c r="T312" s="136"/>
      <c r="U312" s="136"/>
      <c r="V312" s="136"/>
      <c r="W312" s="136"/>
      <c r="X312" s="136"/>
      <c r="Y312" s="136"/>
      <c r="Z312" s="136"/>
      <c r="AA312" s="136"/>
    </row>
    <row r="313" spans="3:27">
      <c r="C313" s="68"/>
      <c r="D313" s="72"/>
      <c r="E313" s="114" t="s">
        <v>651</v>
      </c>
      <c r="F313" s="114"/>
      <c r="G313" s="114"/>
      <c r="H313" s="114"/>
      <c r="I313" s="114"/>
      <c r="J313" s="114"/>
      <c r="K313" s="114"/>
      <c r="L313" s="175"/>
      <c r="M313" s="136"/>
      <c r="N313" s="136"/>
      <c r="O313" s="136"/>
      <c r="P313" s="136"/>
      <c r="Q313" s="136"/>
      <c r="R313" s="136"/>
      <c r="S313" s="136"/>
      <c r="T313" s="136"/>
      <c r="U313" s="136"/>
      <c r="V313" s="136"/>
      <c r="W313" s="136"/>
      <c r="X313" s="136"/>
      <c r="Y313" s="136"/>
      <c r="Z313" s="136"/>
      <c r="AA313" s="136"/>
    </row>
    <row r="314" spans="3:27">
      <c r="C314" s="68"/>
      <c r="D314" s="72"/>
      <c r="E314" s="72"/>
      <c r="F314" s="114" t="s">
        <v>661</v>
      </c>
      <c r="G314" s="114"/>
      <c r="H314" s="114"/>
      <c r="I314" s="114"/>
      <c r="J314" s="114"/>
      <c r="K314" s="164"/>
      <c r="L314" s="210" t="str">
        <f>L145</f>
        <v/>
      </c>
      <c r="M314" s="136"/>
      <c r="N314" s="136"/>
      <c r="O314" s="136"/>
      <c r="P314" s="136"/>
      <c r="Q314" s="136"/>
      <c r="R314" s="136"/>
      <c r="S314" s="136"/>
      <c r="T314" s="136"/>
      <c r="U314" s="136"/>
      <c r="V314" s="136"/>
      <c r="W314" s="136"/>
      <c r="X314" s="136"/>
      <c r="Y314" s="136"/>
      <c r="Z314" s="136"/>
      <c r="AA314" s="136"/>
    </row>
    <row r="315" spans="3:27">
      <c r="C315" s="68"/>
      <c r="D315" s="72"/>
      <c r="E315" s="72"/>
      <c r="F315" s="114" t="s">
        <v>660</v>
      </c>
      <c r="G315" s="114"/>
      <c r="H315" s="114"/>
      <c r="I315" s="114"/>
      <c r="J315" s="114"/>
      <c r="K315" s="164"/>
      <c r="L315" s="239" t="str">
        <f>L146</f>
        <v/>
      </c>
      <c r="M315" s="136"/>
      <c r="N315" s="136"/>
      <c r="O315" s="136"/>
      <c r="P315" s="136"/>
      <c r="Q315" s="136"/>
      <c r="R315" s="136"/>
      <c r="S315" s="136"/>
      <c r="T315" s="136"/>
      <c r="U315" s="136"/>
      <c r="V315" s="136"/>
      <c r="W315" s="136"/>
      <c r="X315" s="136"/>
      <c r="Y315" s="136"/>
      <c r="Z315" s="136"/>
      <c r="AA315" s="136"/>
    </row>
    <row r="316" spans="3:27">
      <c r="C316" s="68"/>
      <c r="D316" s="72"/>
      <c r="E316" s="72"/>
      <c r="F316" s="114" t="s">
        <v>647</v>
      </c>
      <c r="G316" s="114"/>
      <c r="H316" s="114"/>
      <c r="I316" s="114"/>
      <c r="J316" s="114"/>
      <c r="K316" s="164"/>
      <c r="L316" s="228"/>
      <c r="M316" s="136"/>
      <c r="N316" s="136"/>
      <c r="O316" s="136"/>
      <c r="P316" s="136"/>
      <c r="Q316" s="136"/>
      <c r="R316" s="136"/>
      <c r="S316" s="136"/>
      <c r="T316" s="136"/>
      <c r="U316" s="136"/>
      <c r="V316" s="136"/>
      <c r="W316" s="136"/>
      <c r="X316" s="136"/>
      <c r="Y316" s="136"/>
      <c r="Z316" s="136"/>
      <c r="AA316" s="136"/>
    </row>
    <row r="317" spans="3:27">
      <c r="C317" s="68"/>
      <c r="D317" s="72"/>
      <c r="E317" s="72"/>
      <c r="F317" s="114" t="s">
        <v>665</v>
      </c>
      <c r="G317" s="114"/>
      <c r="H317" s="114"/>
      <c r="I317" s="114"/>
      <c r="J317" s="114"/>
      <c r="K317" s="164"/>
      <c r="L317" s="239" t="str">
        <f>IF(L314="","","暗号化済み")</f>
        <v/>
      </c>
      <c r="M317" s="136"/>
      <c r="N317" s="136"/>
      <c r="O317" s="136"/>
      <c r="P317" s="136"/>
      <c r="Q317" s="136"/>
      <c r="R317" s="136"/>
      <c r="S317" s="136"/>
      <c r="T317" s="136"/>
      <c r="U317" s="136"/>
      <c r="V317" s="136"/>
      <c r="W317" s="136"/>
      <c r="X317" s="136"/>
      <c r="Y317" s="136"/>
      <c r="Z317" s="136"/>
      <c r="AA317" s="136"/>
    </row>
    <row r="318" spans="3:27">
      <c r="C318" s="68"/>
      <c r="D318" s="72"/>
      <c r="E318" s="72"/>
      <c r="F318" s="134" t="s">
        <v>648</v>
      </c>
      <c r="G318" s="114"/>
      <c r="H318" s="164"/>
      <c r="I318" s="116" t="s">
        <v>649</v>
      </c>
      <c r="J318" s="122"/>
      <c r="K318" s="182"/>
      <c r="L318" s="178" t="str">
        <f>IF(L314="","",
IF(L231="HostName","Name",
IF(LEFT(L231,1)="※",L231)))</f>
        <v/>
      </c>
      <c r="M318" s="136"/>
      <c r="N318" s="136"/>
      <c r="O318" s="136"/>
      <c r="P318" s="136"/>
      <c r="Q318" s="136"/>
      <c r="R318" s="136"/>
      <c r="S318" s="136"/>
      <c r="T318" s="136"/>
      <c r="U318" s="136"/>
      <c r="V318" s="136"/>
      <c r="W318" s="136"/>
      <c r="X318" s="136"/>
      <c r="Y318" s="136"/>
      <c r="Z318" s="136"/>
      <c r="AA318" s="136"/>
    </row>
    <row r="319" spans="3:27">
      <c r="C319" s="68"/>
      <c r="D319" s="72"/>
      <c r="E319" s="72"/>
      <c r="F319" s="237"/>
      <c r="G319" s="123"/>
      <c r="H319" s="219"/>
      <c r="I319" s="119" t="s">
        <v>135</v>
      </c>
      <c r="J319" s="120"/>
      <c r="K319" s="121"/>
      <c r="L319" s="238" t="str">
        <f>IF(L314="","",
IF(L318="Name",L232&amp;"-"&amp;L314,
IF(LEFT(L232,1)="※",L232)))</f>
        <v/>
      </c>
      <c r="M319" s="136"/>
      <c r="N319" s="136"/>
      <c r="O319" s="136"/>
      <c r="P319" s="136"/>
      <c r="Q319" s="136"/>
      <c r="R319" s="136"/>
      <c r="S319" s="136"/>
      <c r="T319" s="136"/>
      <c r="U319" s="136"/>
      <c r="V319" s="136"/>
      <c r="W319" s="136"/>
      <c r="X319" s="136"/>
      <c r="Y319" s="136"/>
      <c r="Z319" s="136"/>
      <c r="AA319" s="136"/>
    </row>
    <row r="320" spans="3:27">
      <c r="C320" s="68"/>
      <c r="D320" s="72"/>
      <c r="E320" s="72"/>
      <c r="F320" s="134" t="s">
        <v>650</v>
      </c>
      <c r="G320" s="114"/>
      <c r="H320" s="164"/>
      <c r="I320" s="116" t="s">
        <v>649</v>
      </c>
      <c r="J320" s="122"/>
      <c r="K320" s="182"/>
      <c r="L320" s="178" t="str">
        <f>IF(L314="","",
IF(L231="HostName","VolumeName",
IF(LEFT(L231,1)="※",L231)))</f>
        <v/>
      </c>
      <c r="M320" s="136"/>
      <c r="N320" s="136"/>
      <c r="O320" s="136"/>
      <c r="P320" s="136"/>
      <c r="Q320" s="136"/>
      <c r="R320" s="136"/>
      <c r="S320" s="136"/>
      <c r="T320" s="136"/>
      <c r="U320" s="136"/>
      <c r="V320" s="136"/>
      <c r="W320" s="136"/>
      <c r="X320" s="136"/>
      <c r="Y320" s="136"/>
      <c r="Z320" s="136"/>
      <c r="AA320" s="136"/>
    </row>
    <row r="321" spans="3:27">
      <c r="C321" s="68"/>
      <c r="D321" s="72"/>
      <c r="E321" s="72"/>
      <c r="F321" s="237"/>
      <c r="G321" s="123"/>
      <c r="H321" s="219"/>
      <c r="I321" s="119" t="s">
        <v>135</v>
      </c>
      <c r="J321" s="120"/>
      <c r="K321" s="121"/>
      <c r="L321" s="238" t="str">
        <f>IF(L314="","",
IF(L320="VolumeName",L232&amp;"-"&amp;L314,
IF(LEFT(L232,1)="※",L232)))</f>
        <v/>
      </c>
      <c r="M321" s="136"/>
      <c r="N321" s="136"/>
      <c r="O321" s="136"/>
      <c r="P321" s="136"/>
      <c r="Q321" s="136"/>
      <c r="R321" s="136"/>
      <c r="S321" s="136"/>
      <c r="T321" s="136"/>
      <c r="U321" s="136"/>
      <c r="V321" s="136"/>
      <c r="W321" s="136"/>
      <c r="X321" s="136"/>
      <c r="Y321" s="136"/>
      <c r="Z321" s="136"/>
      <c r="AA321" s="136"/>
    </row>
    <row r="322" spans="3:27">
      <c r="C322" s="68"/>
      <c r="D322" s="72"/>
      <c r="E322" s="72"/>
      <c r="F322" s="134" t="s">
        <v>215</v>
      </c>
      <c r="G322" s="114"/>
      <c r="H322" s="164"/>
      <c r="I322" s="116" t="s">
        <v>649</v>
      </c>
      <c r="J322" s="122"/>
      <c r="K322" s="182"/>
      <c r="L322" s="178" t="str">
        <f>IF(L314="","",
IF(L236="System",L236,
IF(LEFT(L236,1)="※",L236)))</f>
        <v/>
      </c>
      <c r="M322" s="136"/>
      <c r="N322" s="136"/>
      <c r="O322" s="136"/>
      <c r="P322" s="136"/>
      <c r="Q322" s="136"/>
      <c r="R322" s="136"/>
      <c r="S322" s="136"/>
      <c r="T322" s="136"/>
      <c r="U322" s="136"/>
      <c r="V322" s="136"/>
      <c r="W322" s="136"/>
      <c r="X322" s="136"/>
      <c r="Y322" s="136"/>
      <c r="Z322" s="136"/>
      <c r="AA322" s="136"/>
    </row>
    <row r="323" spans="3:27">
      <c r="C323" s="68"/>
      <c r="D323" s="72"/>
      <c r="E323" s="72"/>
      <c r="F323" s="237"/>
      <c r="G323" s="123"/>
      <c r="H323" s="219"/>
      <c r="I323" s="119" t="s">
        <v>135</v>
      </c>
      <c r="J323" s="120"/>
      <c r="K323" s="121"/>
      <c r="L323" s="238" t="str">
        <f>IF(L314="","",
IF(L322="System",L237,
IF(LEFT(L237,1)="※",L237)))</f>
        <v/>
      </c>
      <c r="M323" s="136"/>
      <c r="N323" s="136"/>
      <c r="O323" s="136"/>
      <c r="P323" s="136"/>
      <c r="Q323" s="136"/>
      <c r="R323" s="136"/>
      <c r="S323" s="136"/>
      <c r="T323" s="136"/>
      <c r="U323" s="136"/>
      <c r="V323" s="136"/>
      <c r="W323" s="136"/>
      <c r="X323" s="136"/>
      <c r="Y323" s="136"/>
      <c r="Z323" s="136"/>
      <c r="AA323" s="136"/>
    </row>
    <row r="324" spans="3:27">
      <c r="C324" s="68"/>
      <c r="D324" s="72"/>
      <c r="E324" s="72"/>
      <c r="F324" s="134" t="s">
        <v>216</v>
      </c>
      <c r="G324" s="114"/>
      <c r="H324" s="164"/>
      <c r="I324" s="116" t="s">
        <v>649</v>
      </c>
      <c r="J324" s="122"/>
      <c r="K324" s="182"/>
      <c r="L324" s="178" t="str" cm="1">
        <f t="array" aca="1" ref="L324" ca="1">IF(L314="","",
IF(LEN($L$26)&lt;2,"-",
IF($L$27="","※部門コードを入力してください。"&amp;"(セル：L"&amp;CELL("row",$L$27)&amp;")",
IF(AND($L$26&lt;&gt;"",$L$27&lt;&gt;""),"CostAllocation"))))</f>
        <v/>
      </c>
      <c r="M324" s="136"/>
      <c r="N324" s="136"/>
      <c r="O324" s="136"/>
      <c r="P324" s="136"/>
      <c r="Q324" s="136"/>
      <c r="R324" s="136"/>
      <c r="S324" s="136"/>
      <c r="T324" s="136"/>
      <c r="U324" s="136"/>
      <c r="V324" s="136"/>
      <c r="W324" s="136"/>
      <c r="X324" s="136"/>
      <c r="Y324" s="136"/>
      <c r="Z324" s="136"/>
      <c r="AA324" s="136"/>
    </row>
    <row r="325" spans="3:27">
      <c r="C325" s="68"/>
      <c r="D325" s="72"/>
      <c r="E325" s="72"/>
      <c r="F325" s="237"/>
      <c r="G325" s="123"/>
      <c r="H325" s="219"/>
      <c r="I325" s="119" t="s">
        <v>135</v>
      </c>
      <c r="J325" s="120"/>
      <c r="K325" s="121"/>
      <c r="L325" s="246" t="str">
        <f ca="1">IF(L324="CostAllocation",$L$26&amp;"-"&amp;$L$27,L324)</f>
        <v/>
      </c>
      <c r="M325" s="136"/>
      <c r="N325" s="136"/>
      <c r="O325" s="136"/>
      <c r="P325" s="136"/>
      <c r="Q325" s="136"/>
      <c r="R325" s="136"/>
      <c r="S325" s="136"/>
      <c r="T325" s="136"/>
      <c r="U325" s="136"/>
      <c r="V325" s="136"/>
      <c r="W325" s="136"/>
      <c r="X325" s="136"/>
      <c r="Y325" s="136"/>
      <c r="Z325" s="136"/>
      <c r="AA325" s="136"/>
    </row>
    <row r="326" spans="3:27">
      <c r="C326" s="68"/>
      <c r="D326" s="72"/>
      <c r="E326" s="72"/>
      <c r="F326" s="134" t="s">
        <v>622</v>
      </c>
      <c r="G326" s="114"/>
      <c r="H326" s="164"/>
      <c r="I326" s="116" t="s">
        <v>649</v>
      </c>
      <c r="J326" s="122"/>
      <c r="K326" s="182"/>
      <c r="L326" s="178" t="str">
        <f>IF(L37="","",L231)</f>
        <v/>
      </c>
      <c r="M326" s="136"/>
      <c r="N326" s="136"/>
      <c r="O326" s="136"/>
      <c r="P326" s="136"/>
      <c r="Q326" s="136"/>
      <c r="R326" s="136"/>
      <c r="S326" s="136"/>
      <c r="T326" s="136"/>
      <c r="U326" s="136"/>
      <c r="V326" s="136"/>
      <c r="W326" s="136"/>
      <c r="X326" s="136"/>
      <c r="Y326" s="136"/>
      <c r="Z326" s="136"/>
      <c r="AA326" s="136"/>
    </row>
    <row r="327" spans="3:27">
      <c r="C327" s="68"/>
      <c r="D327" s="72"/>
      <c r="E327" s="72"/>
      <c r="F327" s="237"/>
      <c r="G327" s="123"/>
      <c r="H327" s="219"/>
      <c r="I327" s="119" t="s">
        <v>135</v>
      </c>
      <c r="J327" s="120"/>
      <c r="K327" s="121"/>
      <c r="L327" s="246" t="str">
        <f>IF(L37="","",L232)</f>
        <v/>
      </c>
      <c r="M327" s="136"/>
      <c r="N327" s="136"/>
      <c r="O327" s="136"/>
      <c r="P327" s="136"/>
      <c r="Q327" s="136"/>
      <c r="R327" s="136"/>
      <c r="S327" s="136"/>
      <c r="T327" s="136"/>
      <c r="U327" s="136"/>
      <c r="V327" s="136"/>
      <c r="W327" s="136"/>
      <c r="X327" s="136"/>
      <c r="Y327" s="136"/>
      <c r="Z327" s="136"/>
      <c r="AA327" s="136"/>
    </row>
    <row r="328" spans="3:27">
      <c r="C328" s="68"/>
      <c r="D328" s="72"/>
      <c r="E328" s="114" t="s">
        <v>652</v>
      </c>
      <c r="F328" s="114"/>
      <c r="G328" s="114"/>
      <c r="H328" s="114"/>
      <c r="I328" s="114"/>
      <c r="J328" s="114"/>
      <c r="K328" s="114"/>
      <c r="L328" s="175"/>
      <c r="M328" s="136"/>
      <c r="N328" s="136"/>
      <c r="O328" s="136"/>
      <c r="P328" s="136"/>
      <c r="Q328" s="136"/>
      <c r="R328" s="136"/>
      <c r="S328" s="136"/>
      <c r="T328" s="136"/>
      <c r="U328" s="136"/>
      <c r="V328" s="136"/>
      <c r="W328" s="136"/>
      <c r="X328" s="136"/>
      <c r="Y328" s="136"/>
      <c r="Z328" s="136"/>
      <c r="AA328" s="136"/>
    </row>
    <row r="329" spans="3:27">
      <c r="C329" s="68"/>
      <c r="D329" s="72"/>
      <c r="E329" s="72"/>
      <c r="F329" s="114" t="s">
        <v>661</v>
      </c>
      <c r="G329" s="114"/>
      <c r="H329" s="114"/>
      <c r="I329" s="114"/>
      <c r="J329" s="114"/>
      <c r="K329" s="164"/>
      <c r="L329" s="210" t="str">
        <f>L154</f>
        <v/>
      </c>
      <c r="M329" s="136"/>
      <c r="N329" s="136"/>
      <c r="O329" s="136"/>
      <c r="P329" s="136"/>
      <c r="Q329" s="136"/>
      <c r="R329" s="136"/>
      <c r="S329" s="136"/>
      <c r="T329" s="136"/>
      <c r="U329" s="136"/>
      <c r="V329" s="136"/>
      <c r="W329" s="136"/>
      <c r="X329" s="136"/>
      <c r="Y329" s="136"/>
      <c r="Z329" s="136"/>
      <c r="AA329" s="136"/>
    </row>
    <row r="330" spans="3:27">
      <c r="C330" s="68"/>
      <c r="D330" s="72"/>
      <c r="E330" s="72"/>
      <c r="F330" s="114" t="s">
        <v>660</v>
      </c>
      <c r="G330" s="114"/>
      <c r="H330" s="114"/>
      <c r="I330" s="114"/>
      <c r="J330" s="114"/>
      <c r="K330" s="164"/>
      <c r="L330" s="239" t="str">
        <f>L155</f>
        <v/>
      </c>
      <c r="M330" s="136"/>
      <c r="N330" s="136"/>
      <c r="O330" s="136"/>
      <c r="P330" s="136"/>
      <c r="Q330" s="136"/>
      <c r="R330" s="136"/>
      <c r="S330" s="136"/>
      <c r="T330" s="136"/>
      <c r="U330" s="136"/>
      <c r="V330" s="136"/>
      <c r="W330" s="136"/>
      <c r="X330" s="136"/>
      <c r="Y330" s="136"/>
      <c r="Z330" s="136"/>
      <c r="AA330" s="136"/>
    </row>
    <row r="331" spans="3:27">
      <c r="C331" s="68"/>
      <c r="D331" s="72"/>
      <c r="E331" s="72"/>
      <c r="F331" s="114" t="s">
        <v>647</v>
      </c>
      <c r="G331" s="114"/>
      <c r="H331" s="114"/>
      <c r="I331" s="114"/>
      <c r="J331" s="114"/>
      <c r="K331" s="164"/>
      <c r="L331" s="228"/>
      <c r="M331" s="136"/>
      <c r="N331" s="136"/>
      <c r="O331" s="136"/>
      <c r="P331" s="136"/>
      <c r="Q331" s="136"/>
      <c r="R331" s="136"/>
      <c r="S331" s="136"/>
      <c r="T331" s="136"/>
      <c r="U331" s="136"/>
      <c r="V331" s="136"/>
      <c r="W331" s="136"/>
      <c r="X331" s="136"/>
      <c r="Y331" s="136"/>
      <c r="Z331" s="136"/>
      <c r="AA331" s="136"/>
    </row>
    <row r="332" spans="3:27">
      <c r="C332" s="68"/>
      <c r="D332" s="72"/>
      <c r="E332" s="72"/>
      <c r="F332" s="114" t="s">
        <v>665</v>
      </c>
      <c r="G332" s="114"/>
      <c r="H332" s="114"/>
      <c r="I332" s="114"/>
      <c r="J332" s="114"/>
      <c r="K332" s="164"/>
      <c r="L332" s="239" t="str">
        <f>IF(L329="","","暗号化済み")</f>
        <v/>
      </c>
      <c r="M332" s="136"/>
      <c r="N332" s="136"/>
      <c r="O332" s="136"/>
      <c r="P332" s="136"/>
      <c r="Q332" s="136"/>
      <c r="R332" s="136"/>
      <c r="S332" s="136"/>
      <c r="T332" s="136"/>
      <c r="U332" s="136"/>
      <c r="V332" s="136"/>
      <c r="W332" s="136"/>
      <c r="X332" s="136"/>
      <c r="Y332" s="136"/>
      <c r="Z332" s="136"/>
      <c r="AA332" s="136"/>
    </row>
    <row r="333" spans="3:27">
      <c r="C333" s="68"/>
      <c r="D333" s="72"/>
      <c r="E333" s="72"/>
      <c r="F333" s="134" t="s">
        <v>648</v>
      </c>
      <c r="G333" s="114"/>
      <c r="H333" s="164"/>
      <c r="I333" s="116" t="s">
        <v>649</v>
      </c>
      <c r="J333" s="122"/>
      <c r="K333" s="182"/>
      <c r="L333" s="178" t="str">
        <f>IF(L329="","",
IF(L231="HostName","Name",
IF(LEFT(L231,1)="※",L231)))</f>
        <v/>
      </c>
      <c r="M333" s="136"/>
      <c r="N333" s="136"/>
      <c r="O333" s="136"/>
      <c r="P333" s="136"/>
      <c r="Q333" s="136"/>
      <c r="R333" s="136"/>
      <c r="S333" s="136"/>
      <c r="T333" s="136"/>
      <c r="U333" s="136"/>
      <c r="V333" s="136"/>
      <c r="W333" s="136"/>
      <c r="X333" s="136"/>
      <c r="Y333" s="136"/>
      <c r="Z333" s="136"/>
      <c r="AA333" s="136"/>
    </row>
    <row r="334" spans="3:27">
      <c r="C334" s="68"/>
      <c r="D334" s="72"/>
      <c r="E334" s="72"/>
      <c r="F334" s="237"/>
      <c r="G334" s="123"/>
      <c r="H334" s="219"/>
      <c r="I334" s="119" t="s">
        <v>135</v>
      </c>
      <c r="J334" s="120"/>
      <c r="K334" s="121"/>
      <c r="L334" s="238" t="str">
        <f>IF(L329="","",
IF(L333="Name",L232&amp;"-"&amp;L329,
IF(LEFT(L232,1)="※",L232)))</f>
        <v/>
      </c>
      <c r="M334" s="136"/>
      <c r="N334" s="136"/>
      <c r="O334" s="136"/>
      <c r="P334" s="136"/>
      <c r="Q334" s="136"/>
      <c r="R334" s="136"/>
      <c r="S334" s="136"/>
      <c r="T334" s="136"/>
      <c r="U334" s="136"/>
      <c r="V334" s="136"/>
      <c r="W334" s="136"/>
      <c r="X334" s="136"/>
      <c r="Y334" s="136"/>
      <c r="Z334" s="136"/>
      <c r="AA334" s="136"/>
    </row>
    <row r="335" spans="3:27">
      <c r="C335" s="68"/>
      <c r="D335" s="72"/>
      <c r="E335" s="72"/>
      <c r="F335" s="134" t="s">
        <v>650</v>
      </c>
      <c r="G335" s="114"/>
      <c r="H335" s="164"/>
      <c r="I335" s="116" t="s">
        <v>649</v>
      </c>
      <c r="J335" s="122"/>
      <c r="K335" s="182"/>
      <c r="L335" s="178" t="str">
        <f>IF(L329="","",
IF(L231="HostName","VolumeName",
IF(LEFT(L231,1)="※",L231)))</f>
        <v/>
      </c>
      <c r="M335" s="136"/>
      <c r="N335" s="136"/>
      <c r="O335" s="136"/>
      <c r="P335" s="136"/>
      <c r="Q335" s="136"/>
      <c r="R335" s="136"/>
      <c r="S335" s="136"/>
      <c r="T335" s="136"/>
      <c r="U335" s="136"/>
      <c r="V335" s="136"/>
      <c r="W335" s="136"/>
      <c r="X335" s="136"/>
      <c r="Y335" s="136"/>
      <c r="Z335" s="136"/>
      <c r="AA335" s="136"/>
    </row>
    <row r="336" spans="3:27">
      <c r="C336" s="68"/>
      <c r="D336" s="72"/>
      <c r="E336" s="72"/>
      <c r="F336" s="237"/>
      <c r="G336" s="123"/>
      <c r="H336" s="219"/>
      <c r="I336" s="119" t="s">
        <v>135</v>
      </c>
      <c r="J336" s="120"/>
      <c r="K336" s="121"/>
      <c r="L336" s="238" t="str">
        <f>IF(L329="","",
IF(L335="VolumeName",L232&amp;"-"&amp;L329,
IF(LEFT(L232,1)="※",L232)))</f>
        <v/>
      </c>
      <c r="M336" s="136"/>
      <c r="N336" s="136"/>
      <c r="O336" s="136"/>
      <c r="P336" s="136"/>
      <c r="Q336" s="136"/>
      <c r="R336" s="136"/>
      <c r="S336" s="136"/>
      <c r="T336" s="136"/>
      <c r="U336" s="136"/>
      <c r="V336" s="136"/>
      <c r="W336" s="136"/>
      <c r="X336" s="136"/>
      <c r="Y336" s="136"/>
      <c r="Z336" s="136"/>
      <c r="AA336" s="136"/>
    </row>
    <row r="337" spans="3:27">
      <c r="C337" s="68"/>
      <c r="D337" s="72"/>
      <c r="E337" s="72"/>
      <c r="F337" s="134" t="s">
        <v>215</v>
      </c>
      <c r="G337" s="114"/>
      <c r="H337" s="164"/>
      <c r="I337" s="116" t="s">
        <v>649</v>
      </c>
      <c r="J337" s="122"/>
      <c r="K337" s="182"/>
      <c r="L337" s="178" t="str">
        <f>IF(L329="","",
IF(L236="System",L236,
IF(LEFT(L236,1)="※",L236)))</f>
        <v/>
      </c>
      <c r="M337" s="136"/>
      <c r="N337" s="136"/>
      <c r="O337" s="136"/>
      <c r="P337" s="136"/>
      <c r="Q337" s="136"/>
      <c r="R337" s="136"/>
      <c r="S337" s="136"/>
      <c r="T337" s="136"/>
      <c r="U337" s="136"/>
      <c r="V337" s="136"/>
      <c r="W337" s="136"/>
      <c r="X337" s="136"/>
      <c r="Y337" s="136"/>
      <c r="Z337" s="136"/>
      <c r="AA337" s="136"/>
    </row>
    <row r="338" spans="3:27">
      <c r="C338" s="68"/>
      <c r="D338" s="72"/>
      <c r="E338" s="72"/>
      <c r="F338" s="237"/>
      <c r="G338" s="123"/>
      <c r="H338" s="219"/>
      <c r="I338" s="119" t="s">
        <v>135</v>
      </c>
      <c r="J338" s="120"/>
      <c r="K338" s="121"/>
      <c r="L338" s="238" t="str">
        <f>IF(L329="","",
IF(L337="System",L237,
IF(LEFT(L237,1)="※",L237)))</f>
        <v/>
      </c>
      <c r="M338" s="136"/>
      <c r="N338" s="136"/>
      <c r="O338" s="136"/>
      <c r="P338" s="136"/>
      <c r="Q338" s="136"/>
      <c r="R338" s="136"/>
      <c r="S338" s="136"/>
      <c r="T338" s="136"/>
      <c r="U338" s="136"/>
      <c r="V338" s="136"/>
      <c r="W338" s="136"/>
      <c r="X338" s="136"/>
      <c r="Y338" s="136"/>
      <c r="Z338" s="136"/>
      <c r="AA338" s="136"/>
    </row>
    <row r="339" spans="3:27">
      <c r="C339" s="68"/>
      <c r="D339" s="72"/>
      <c r="E339" s="72"/>
      <c r="F339" s="134" t="s">
        <v>216</v>
      </c>
      <c r="G339" s="114"/>
      <c r="H339" s="164"/>
      <c r="I339" s="116" t="s">
        <v>649</v>
      </c>
      <c r="J339" s="122"/>
      <c r="K339" s="182"/>
      <c r="L339" s="178" t="str" cm="1">
        <f t="array" aca="1" ref="L339" ca="1">IF(L329="","",
IF(LEN($L$26)&lt;2,"-",
IF($L$27="","※部門コードを入力してください。"&amp;"(セル：L"&amp;CELL("row",$L$27)&amp;")",
IF(AND($L$26&lt;&gt;"",$L$27&lt;&gt;""),"CostAllocation"))))</f>
        <v/>
      </c>
      <c r="M339" s="136"/>
      <c r="N339" s="136"/>
      <c r="O339" s="136"/>
      <c r="P339" s="136"/>
      <c r="Q339" s="136"/>
      <c r="R339" s="136"/>
      <c r="S339" s="136"/>
      <c r="T339" s="136"/>
      <c r="U339" s="136"/>
      <c r="V339" s="136"/>
      <c r="W339" s="136"/>
      <c r="X339" s="136"/>
      <c r="Y339" s="136"/>
      <c r="Z339" s="136"/>
      <c r="AA339" s="136"/>
    </row>
    <row r="340" spans="3:27">
      <c r="C340" s="68"/>
      <c r="D340" s="72"/>
      <c r="E340" s="72"/>
      <c r="F340" s="237"/>
      <c r="G340" s="123"/>
      <c r="H340" s="219"/>
      <c r="I340" s="119" t="s">
        <v>135</v>
      </c>
      <c r="J340" s="120"/>
      <c r="K340" s="121"/>
      <c r="L340" s="246" t="str">
        <f ca="1">IF(L339="CostAllocation",$L$26&amp;"-"&amp;$L$27,L339)</f>
        <v/>
      </c>
      <c r="M340" s="136"/>
      <c r="N340" s="136"/>
      <c r="O340" s="136"/>
      <c r="P340" s="136"/>
      <c r="Q340" s="136"/>
      <c r="R340" s="136"/>
      <c r="S340" s="136"/>
      <c r="T340" s="136"/>
      <c r="U340" s="136"/>
      <c r="V340" s="136"/>
      <c r="W340" s="136"/>
      <c r="X340" s="136"/>
      <c r="Y340" s="136"/>
      <c r="Z340" s="136"/>
      <c r="AA340" s="136"/>
    </row>
    <row r="341" spans="3:27">
      <c r="C341" s="68"/>
      <c r="D341" s="72"/>
      <c r="E341" s="72"/>
      <c r="F341" s="134" t="s">
        <v>622</v>
      </c>
      <c r="G341" s="114"/>
      <c r="H341" s="164"/>
      <c r="I341" s="116" t="s">
        <v>649</v>
      </c>
      <c r="J341" s="122"/>
      <c r="K341" s="182"/>
      <c r="L341" s="178" t="str">
        <f>IF(L43="","",L231)</f>
        <v/>
      </c>
      <c r="M341" s="136"/>
      <c r="N341" s="136"/>
      <c r="O341" s="136"/>
      <c r="P341" s="136"/>
      <c r="Q341" s="136"/>
      <c r="R341" s="136"/>
      <c r="S341" s="136"/>
      <c r="T341" s="136"/>
      <c r="U341" s="136"/>
      <c r="V341" s="136"/>
      <c r="W341" s="136"/>
      <c r="X341" s="136"/>
      <c r="Y341" s="136"/>
      <c r="Z341" s="136"/>
      <c r="AA341" s="136"/>
    </row>
    <row r="342" spans="3:27">
      <c r="C342" s="68"/>
      <c r="D342" s="72"/>
      <c r="E342" s="72"/>
      <c r="F342" s="237"/>
      <c r="G342" s="123"/>
      <c r="H342" s="219"/>
      <c r="I342" s="119" t="s">
        <v>135</v>
      </c>
      <c r="J342" s="120"/>
      <c r="K342" s="121"/>
      <c r="L342" s="246" t="str">
        <f>IF(L43="","",L232)</f>
        <v/>
      </c>
      <c r="M342" s="136"/>
      <c r="N342" s="136"/>
      <c r="O342" s="136"/>
      <c r="P342" s="136"/>
      <c r="Q342" s="136"/>
      <c r="R342" s="136"/>
      <c r="S342" s="136"/>
      <c r="T342" s="136"/>
      <c r="U342" s="136"/>
      <c r="V342" s="136"/>
      <c r="W342" s="136"/>
      <c r="X342" s="136"/>
      <c r="Y342" s="136"/>
      <c r="Z342" s="136"/>
      <c r="AA342" s="136"/>
    </row>
    <row r="343" spans="3:27">
      <c r="C343" s="68"/>
      <c r="D343" s="72"/>
      <c r="E343" s="114" t="s">
        <v>653</v>
      </c>
      <c r="F343" s="114"/>
      <c r="G343" s="114"/>
      <c r="H343" s="114"/>
      <c r="I343" s="114"/>
      <c r="J343" s="114"/>
      <c r="K343" s="114"/>
      <c r="L343" s="175"/>
      <c r="M343" s="136"/>
      <c r="N343" s="136"/>
      <c r="O343" s="136"/>
      <c r="P343" s="136"/>
      <c r="Q343" s="136"/>
      <c r="R343" s="136"/>
      <c r="S343" s="136"/>
      <c r="T343" s="136"/>
      <c r="U343" s="136"/>
      <c r="V343" s="136"/>
      <c r="W343" s="136"/>
      <c r="X343" s="136"/>
      <c r="Y343" s="136"/>
      <c r="Z343" s="136"/>
      <c r="AA343" s="136"/>
    </row>
    <row r="344" spans="3:27">
      <c r="C344" s="68"/>
      <c r="D344" s="72"/>
      <c r="E344" s="72"/>
      <c r="F344" s="114" t="s">
        <v>661</v>
      </c>
      <c r="G344" s="114"/>
      <c r="H344" s="114"/>
      <c r="I344" s="114"/>
      <c r="J344" s="114"/>
      <c r="K344" s="164"/>
      <c r="L344" s="210" t="str">
        <f>L163</f>
        <v/>
      </c>
      <c r="M344" s="136"/>
      <c r="N344" s="136"/>
      <c r="O344" s="136"/>
      <c r="P344" s="136"/>
      <c r="Q344" s="136"/>
      <c r="R344" s="136"/>
      <c r="S344" s="136"/>
      <c r="T344" s="136"/>
      <c r="U344" s="136"/>
      <c r="V344" s="136"/>
      <c r="W344" s="136"/>
      <c r="X344" s="136"/>
      <c r="Y344" s="136"/>
      <c r="Z344" s="136"/>
      <c r="AA344" s="136"/>
    </row>
    <row r="345" spans="3:27">
      <c r="C345" s="68"/>
      <c r="D345" s="72"/>
      <c r="E345" s="72"/>
      <c r="F345" s="114" t="s">
        <v>660</v>
      </c>
      <c r="G345" s="114"/>
      <c r="H345" s="114"/>
      <c r="I345" s="114"/>
      <c r="J345" s="114"/>
      <c r="K345" s="164"/>
      <c r="L345" s="239" t="str">
        <f>L164</f>
        <v/>
      </c>
      <c r="M345" s="136"/>
      <c r="N345" s="136"/>
      <c r="O345" s="136"/>
      <c r="P345" s="136"/>
      <c r="Q345" s="136"/>
      <c r="R345" s="136"/>
      <c r="S345" s="136"/>
      <c r="T345" s="136"/>
      <c r="U345" s="136"/>
      <c r="V345" s="136"/>
      <c r="W345" s="136"/>
      <c r="X345" s="136"/>
      <c r="Y345" s="136"/>
      <c r="Z345" s="136"/>
      <c r="AA345" s="136"/>
    </row>
    <row r="346" spans="3:27">
      <c r="C346" s="68"/>
      <c r="D346" s="72"/>
      <c r="E346" s="72"/>
      <c r="F346" s="114" t="s">
        <v>647</v>
      </c>
      <c r="G346" s="114"/>
      <c r="H346" s="114"/>
      <c r="I346" s="114"/>
      <c r="J346" s="114"/>
      <c r="K346" s="164"/>
      <c r="L346" s="228"/>
      <c r="M346" s="136"/>
      <c r="N346" s="136"/>
      <c r="O346" s="136"/>
      <c r="P346" s="136"/>
      <c r="Q346" s="136"/>
      <c r="R346" s="136"/>
      <c r="S346" s="136"/>
      <c r="T346" s="136"/>
      <c r="U346" s="136"/>
      <c r="V346" s="136"/>
      <c r="W346" s="136"/>
      <c r="X346" s="136"/>
      <c r="Y346" s="136"/>
      <c r="Z346" s="136"/>
      <c r="AA346" s="136"/>
    </row>
    <row r="347" spans="3:27">
      <c r="C347" s="68"/>
      <c r="D347" s="72"/>
      <c r="E347" s="72"/>
      <c r="F347" s="114" t="s">
        <v>665</v>
      </c>
      <c r="G347" s="114"/>
      <c r="H347" s="114"/>
      <c r="I347" s="114"/>
      <c r="J347" s="114"/>
      <c r="K347" s="164"/>
      <c r="L347" s="239" t="str">
        <f>IF(L344="","","暗号化済み")</f>
        <v/>
      </c>
      <c r="M347" s="136"/>
      <c r="N347" s="136"/>
      <c r="O347" s="136"/>
      <c r="P347" s="136"/>
      <c r="Q347" s="136"/>
      <c r="R347" s="136"/>
      <c r="S347" s="136"/>
      <c r="T347" s="136"/>
      <c r="U347" s="136"/>
      <c r="V347" s="136"/>
      <c r="W347" s="136"/>
      <c r="X347" s="136"/>
      <c r="Y347" s="136"/>
      <c r="Z347" s="136"/>
      <c r="AA347" s="136"/>
    </row>
    <row r="348" spans="3:27">
      <c r="C348" s="68"/>
      <c r="D348" s="72"/>
      <c r="E348" s="72"/>
      <c r="F348" s="134" t="s">
        <v>648</v>
      </c>
      <c r="G348" s="114"/>
      <c r="H348" s="164"/>
      <c r="I348" s="116" t="s">
        <v>649</v>
      </c>
      <c r="J348" s="122"/>
      <c r="K348" s="182"/>
      <c r="L348" s="178" t="str">
        <f>IF(L344="","",
IF(L231="HostName","Name",
IF(LEFT(L231,1)="※",L231)))</f>
        <v/>
      </c>
      <c r="M348" s="136"/>
      <c r="N348" s="136"/>
      <c r="O348" s="136"/>
      <c r="P348" s="136"/>
      <c r="Q348" s="136"/>
      <c r="R348" s="136"/>
      <c r="S348" s="136"/>
      <c r="T348" s="136"/>
      <c r="U348" s="136"/>
      <c r="V348" s="136"/>
      <c r="W348" s="136"/>
      <c r="X348" s="136"/>
      <c r="Y348" s="136"/>
      <c r="Z348" s="136"/>
      <c r="AA348" s="136"/>
    </row>
    <row r="349" spans="3:27">
      <c r="C349" s="68"/>
      <c r="D349" s="72"/>
      <c r="E349" s="72"/>
      <c r="F349" s="237"/>
      <c r="G349" s="123"/>
      <c r="H349" s="219"/>
      <c r="I349" s="119" t="s">
        <v>135</v>
      </c>
      <c r="J349" s="120"/>
      <c r="K349" s="121"/>
      <c r="L349" s="238" t="str">
        <f>IF(L344="","",
IF(L348="Name",L232&amp;"-"&amp;L344,
IF(LEFT(L232,1)="※",L232)))</f>
        <v/>
      </c>
      <c r="M349" s="136"/>
      <c r="N349" s="136"/>
      <c r="O349" s="136"/>
      <c r="P349" s="136"/>
      <c r="Q349" s="136"/>
      <c r="R349" s="136"/>
      <c r="S349" s="136"/>
      <c r="T349" s="136"/>
      <c r="U349" s="136"/>
      <c r="V349" s="136"/>
      <c r="W349" s="136"/>
      <c r="X349" s="136"/>
      <c r="Y349" s="136"/>
      <c r="Z349" s="136"/>
      <c r="AA349" s="136"/>
    </row>
    <row r="350" spans="3:27">
      <c r="C350" s="68"/>
      <c r="D350" s="72"/>
      <c r="E350" s="72"/>
      <c r="F350" s="134" t="s">
        <v>650</v>
      </c>
      <c r="G350" s="114"/>
      <c r="H350" s="164"/>
      <c r="I350" s="116" t="s">
        <v>649</v>
      </c>
      <c r="J350" s="122"/>
      <c r="K350" s="182"/>
      <c r="L350" s="178" t="str">
        <f>IF(L344="","",
IF(L231="HostName","VolumeName",
IF(LEFT(L231,1)="※",L231)))</f>
        <v/>
      </c>
      <c r="M350" s="136"/>
      <c r="N350" s="136"/>
      <c r="O350" s="136"/>
      <c r="P350" s="136"/>
      <c r="Q350" s="136"/>
      <c r="R350" s="136"/>
      <c r="S350" s="136"/>
      <c r="T350" s="136"/>
      <c r="U350" s="136"/>
      <c r="V350" s="136"/>
      <c r="W350" s="136"/>
      <c r="X350" s="136"/>
      <c r="Y350" s="136"/>
      <c r="Z350" s="136"/>
      <c r="AA350" s="136"/>
    </row>
    <row r="351" spans="3:27">
      <c r="C351" s="68"/>
      <c r="D351" s="72"/>
      <c r="E351" s="72"/>
      <c r="F351" s="237"/>
      <c r="G351" s="123"/>
      <c r="H351" s="219"/>
      <c r="I351" s="119" t="s">
        <v>135</v>
      </c>
      <c r="J351" s="120"/>
      <c r="K351" s="121"/>
      <c r="L351" s="238" t="str">
        <f>IF(L344="","",
IF(L350="VolumeName",L232&amp;"-"&amp;L344,
IF(LEFT(L232,1)="※",L232)))</f>
        <v/>
      </c>
      <c r="M351" s="136"/>
      <c r="N351" s="136"/>
      <c r="O351" s="136"/>
      <c r="P351" s="136"/>
      <c r="Q351" s="136"/>
      <c r="R351" s="136"/>
      <c r="S351" s="136"/>
      <c r="T351" s="136"/>
      <c r="U351" s="136"/>
      <c r="V351" s="136"/>
      <c r="W351" s="136"/>
      <c r="X351" s="136"/>
      <c r="Y351" s="136"/>
      <c r="Z351" s="136"/>
      <c r="AA351" s="136"/>
    </row>
    <row r="352" spans="3:27">
      <c r="C352" s="68"/>
      <c r="D352" s="72"/>
      <c r="E352" s="72"/>
      <c r="F352" s="134" t="s">
        <v>215</v>
      </c>
      <c r="G352" s="114"/>
      <c r="H352" s="164"/>
      <c r="I352" s="116" t="s">
        <v>649</v>
      </c>
      <c r="J352" s="122"/>
      <c r="K352" s="182"/>
      <c r="L352" s="178" t="str">
        <f>IF(L344="","",
IF(L236="System",L236,
IF(LEFT(L236,1)="※",L236)))</f>
        <v/>
      </c>
      <c r="M352" s="136"/>
      <c r="N352" s="136"/>
      <c r="O352" s="136"/>
      <c r="P352" s="136"/>
      <c r="Q352" s="136"/>
      <c r="R352" s="136"/>
      <c r="S352" s="136"/>
      <c r="T352" s="136"/>
      <c r="U352" s="136"/>
      <c r="V352" s="136"/>
      <c r="W352" s="136"/>
      <c r="X352" s="136"/>
      <c r="Y352" s="136"/>
      <c r="Z352" s="136"/>
      <c r="AA352" s="136"/>
    </row>
    <row r="353" spans="3:27">
      <c r="C353" s="68"/>
      <c r="D353" s="72"/>
      <c r="E353" s="72"/>
      <c r="F353" s="237"/>
      <c r="G353" s="123"/>
      <c r="H353" s="219"/>
      <c r="I353" s="119" t="s">
        <v>135</v>
      </c>
      <c r="J353" s="120"/>
      <c r="K353" s="121"/>
      <c r="L353" s="238" t="str">
        <f>IF(L344="","",
IF(L352="System",L237,
IF(LEFT(L237,1)="※",L237)))</f>
        <v/>
      </c>
      <c r="M353" s="136"/>
      <c r="N353" s="136"/>
      <c r="O353" s="136"/>
      <c r="P353" s="136"/>
      <c r="Q353" s="136"/>
      <c r="R353" s="136"/>
      <c r="S353" s="136"/>
      <c r="T353" s="136"/>
      <c r="U353" s="136"/>
      <c r="V353" s="136"/>
      <c r="W353" s="136"/>
      <c r="X353" s="136"/>
      <c r="Y353" s="136"/>
      <c r="Z353" s="136"/>
      <c r="AA353" s="136"/>
    </row>
    <row r="354" spans="3:27">
      <c r="C354" s="68"/>
      <c r="D354" s="72"/>
      <c r="E354" s="72"/>
      <c r="F354" s="134" t="s">
        <v>216</v>
      </c>
      <c r="G354" s="114"/>
      <c r="H354" s="164"/>
      <c r="I354" s="116" t="s">
        <v>649</v>
      </c>
      <c r="J354" s="122"/>
      <c r="K354" s="182"/>
      <c r="L354" s="178" t="str" cm="1">
        <f t="array" aca="1" ref="L354" ca="1">IF(L344="","",
IF(LEN($L$26)&lt;2,"-",
IF($L$27="","※部門コードを入力してください。"&amp;"(セル：L"&amp;CELL("row",$L$27)&amp;")",
IF(AND($L$26&lt;&gt;"",$L$27&lt;&gt;""),"CostAllocation"))))</f>
        <v/>
      </c>
      <c r="M354" s="136"/>
      <c r="N354" s="136"/>
      <c r="O354" s="136"/>
      <c r="P354" s="136"/>
      <c r="Q354" s="136"/>
      <c r="R354" s="136"/>
      <c r="S354" s="136"/>
      <c r="T354" s="136"/>
      <c r="U354" s="136"/>
      <c r="V354" s="136"/>
      <c r="W354" s="136"/>
      <c r="X354" s="136"/>
      <c r="Y354" s="136"/>
      <c r="Z354" s="136"/>
      <c r="AA354" s="136"/>
    </row>
    <row r="355" spans="3:27">
      <c r="C355" s="68"/>
      <c r="D355" s="72"/>
      <c r="E355" s="72"/>
      <c r="F355" s="237"/>
      <c r="G355" s="123"/>
      <c r="H355" s="219"/>
      <c r="I355" s="119" t="s">
        <v>135</v>
      </c>
      <c r="J355" s="120"/>
      <c r="K355" s="121"/>
      <c r="L355" s="246" t="str">
        <f ca="1">IF(L354="CostAllocation",$L$26&amp;"-"&amp;$L$27,L354)</f>
        <v/>
      </c>
      <c r="M355" s="136"/>
      <c r="N355" s="136"/>
      <c r="O355" s="136"/>
      <c r="P355" s="136"/>
      <c r="Q355" s="136"/>
      <c r="R355" s="136"/>
      <c r="S355" s="136"/>
      <c r="T355" s="136"/>
      <c r="U355" s="136"/>
      <c r="V355" s="136"/>
      <c r="W355" s="136"/>
      <c r="X355" s="136"/>
      <c r="Y355" s="136"/>
      <c r="Z355" s="136"/>
      <c r="AA355" s="136"/>
    </row>
    <row r="356" spans="3:27">
      <c r="C356" s="68"/>
      <c r="D356" s="72"/>
      <c r="E356" s="72"/>
      <c r="F356" s="134" t="s">
        <v>622</v>
      </c>
      <c r="G356" s="114"/>
      <c r="H356" s="164"/>
      <c r="I356" s="116" t="s">
        <v>649</v>
      </c>
      <c r="J356" s="122"/>
      <c r="K356" s="182"/>
      <c r="L356" s="178" t="str">
        <f>IF(L49="","",L231)</f>
        <v/>
      </c>
      <c r="M356" s="136"/>
      <c r="N356" s="136"/>
      <c r="O356" s="136"/>
      <c r="P356" s="136"/>
      <c r="Q356" s="136"/>
      <c r="R356" s="136"/>
      <c r="S356" s="136"/>
      <c r="T356" s="136"/>
      <c r="U356" s="136"/>
      <c r="V356" s="136"/>
      <c r="W356" s="136"/>
      <c r="X356" s="136"/>
      <c r="Y356" s="136"/>
      <c r="Z356" s="136"/>
      <c r="AA356" s="136"/>
    </row>
    <row r="357" spans="3:27">
      <c r="C357" s="68"/>
      <c r="D357" s="72"/>
      <c r="E357" s="72"/>
      <c r="F357" s="237"/>
      <c r="G357" s="123"/>
      <c r="H357" s="219"/>
      <c r="I357" s="119" t="s">
        <v>135</v>
      </c>
      <c r="J357" s="120"/>
      <c r="K357" s="121"/>
      <c r="L357" s="246" t="str">
        <f>IF(L49="","",L232)</f>
        <v/>
      </c>
      <c r="M357" s="136"/>
      <c r="N357" s="136"/>
      <c r="O357" s="136"/>
      <c r="P357" s="136"/>
      <c r="Q357" s="136"/>
      <c r="R357" s="136"/>
      <c r="S357" s="136"/>
      <c r="T357" s="136"/>
      <c r="U357" s="136"/>
      <c r="V357" s="136"/>
      <c r="W357" s="136"/>
      <c r="X357" s="136"/>
      <c r="Y357" s="136"/>
      <c r="Z357" s="136"/>
      <c r="AA357" s="136"/>
    </row>
    <row r="358" spans="3:27">
      <c r="C358" s="68"/>
      <c r="D358" s="72"/>
      <c r="E358" s="114" t="s">
        <v>654</v>
      </c>
      <c r="F358" s="114"/>
      <c r="G358" s="114"/>
      <c r="H358" s="114"/>
      <c r="I358" s="114"/>
      <c r="J358" s="114"/>
      <c r="K358" s="114"/>
      <c r="L358" s="175"/>
      <c r="M358" s="136"/>
      <c r="N358" s="136"/>
      <c r="O358" s="136"/>
      <c r="P358" s="136"/>
      <c r="Q358" s="136"/>
      <c r="R358" s="136"/>
      <c r="S358" s="136"/>
      <c r="T358" s="136"/>
      <c r="U358" s="136"/>
      <c r="V358" s="136"/>
      <c r="W358" s="136"/>
      <c r="X358" s="136"/>
      <c r="Y358" s="136"/>
      <c r="Z358" s="136"/>
      <c r="AA358" s="136"/>
    </row>
    <row r="359" spans="3:27">
      <c r="C359" s="68"/>
      <c r="D359" s="72"/>
      <c r="E359" s="72"/>
      <c r="F359" s="114" t="s">
        <v>661</v>
      </c>
      <c r="G359" s="114"/>
      <c r="H359" s="114"/>
      <c r="I359" s="114"/>
      <c r="J359" s="114"/>
      <c r="K359" s="164"/>
      <c r="L359" s="210" t="str">
        <f>L172</f>
        <v/>
      </c>
      <c r="M359" s="136"/>
      <c r="N359" s="136"/>
      <c r="O359" s="136"/>
      <c r="P359" s="136"/>
      <c r="Q359" s="136"/>
      <c r="R359" s="136"/>
      <c r="S359" s="136"/>
      <c r="T359" s="136"/>
      <c r="U359" s="136"/>
      <c r="V359" s="136"/>
      <c r="W359" s="136"/>
      <c r="X359" s="136"/>
      <c r="Y359" s="136"/>
      <c r="Z359" s="136"/>
      <c r="AA359" s="136"/>
    </row>
    <row r="360" spans="3:27">
      <c r="C360" s="68"/>
      <c r="D360" s="72"/>
      <c r="E360" s="72"/>
      <c r="F360" s="114" t="s">
        <v>660</v>
      </c>
      <c r="G360" s="114"/>
      <c r="H360" s="114"/>
      <c r="I360" s="114"/>
      <c r="J360" s="114"/>
      <c r="K360" s="164"/>
      <c r="L360" s="239" t="str">
        <f>L173</f>
        <v/>
      </c>
      <c r="M360" s="136"/>
      <c r="N360" s="136"/>
      <c r="O360" s="136"/>
      <c r="P360" s="136"/>
      <c r="Q360" s="136"/>
      <c r="R360" s="136"/>
      <c r="S360" s="136"/>
      <c r="T360" s="136"/>
      <c r="U360" s="136"/>
      <c r="V360" s="136"/>
      <c r="W360" s="136"/>
      <c r="X360" s="136"/>
      <c r="Y360" s="136"/>
      <c r="Z360" s="136"/>
      <c r="AA360" s="136"/>
    </row>
    <row r="361" spans="3:27">
      <c r="C361" s="68"/>
      <c r="D361" s="72"/>
      <c r="E361" s="72"/>
      <c r="F361" s="114" t="s">
        <v>647</v>
      </c>
      <c r="G361" s="114"/>
      <c r="H361" s="114"/>
      <c r="I361" s="114"/>
      <c r="J361" s="114"/>
      <c r="K361" s="164"/>
      <c r="L361" s="228"/>
      <c r="M361" s="136"/>
      <c r="N361" s="136"/>
      <c r="O361" s="136"/>
      <c r="P361" s="136"/>
      <c r="Q361" s="136"/>
      <c r="R361" s="136"/>
      <c r="S361" s="136"/>
      <c r="T361" s="136"/>
      <c r="U361" s="136"/>
      <c r="V361" s="136"/>
      <c r="W361" s="136"/>
      <c r="X361" s="136"/>
      <c r="Y361" s="136"/>
      <c r="Z361" s="136"/>
      <c r="AA361" s="136"/>
    </row>
    <row r="362" spans="3:27">
      <c r="C362" s="68"/>
      <c r="D362" s="72"/>
      <c r="E362" s="72"/>
      <c r="F362" s="114" t="s">
        <v>665</v>
      </c>
      <c r="G362" s="114"/>
      <c r="H362" s="114"/>
      <c r="I362" s="114"/>
      <c r="J362" s="114"/>
      <c r="K362" s="164"/>
      <c r="L362" s="239" t="str">
        <f>IF(L359="","","暗号化済み")</f>
        <v/>
      </c>
      <c r="M362" s="136"/>
      <c r="N362" s="136"/>
      <c r="O362" s="136"/>
      <c r="P362" s="136"/>
      <c r="Q362" s="136"/>
      <c r="R362" s="136"/>
      <c r="S362" s="136"/>
      <c r="T362" s="136"/>
      <c r="U362" s="136"/>
      <c r="V362" s="136"/>
      <c r="W362" s="136"/>
      <c r="X362" s="136"/>
      <c r="Y362" s="136"/>
      <c r="Z362" s="136"/>
      <c r="AA362" s="136"/>
    </row>
    <row r="363" spans="3:27">
      <c r="C363" s="68"/>
      <c r="D363" s="72"/>
      <c r="E363" s="72"/>
      <c r="F363" s="134" t="s">
        <v>648</v>
      </c>
      <c r="G363" s="114"/>
      <c r="H363" s="164"/>
      <c r="I363" s="116" t="s">
        <v>649</v>
      </c>
      <c r="J363" s="122"/>
      <c r="K363" s="182"/>
      <c r="L363" s="178" t="str">
        <f>IF(L359="","",
IF(L231="HostName","Name",
IF(LEFT(L231,1)="※",L231)))</f>
        <v/>
      </c>
      <c r="M363" s="136"/>
      <c r="N363" s="136"/>
      <c r="O363" s="136"/>
      <c r="P363" s="136"/>
      <c r="Q363" s="136"/>
      <c r="R363" s="136"/>
      <c r="S363" s="136"/>
      <c r="T363" s="136"/>
      <c r="U363" s="136"/>
      <c r="V363" s="136"/>
      <c r="W363" s="136"/>
      <c r="X363" s="136"/>
      <c r="Y363" s="136"/>
      <c r="Z363" s="136"/>
      <c r="AA363" s="136"/>
    </row>
    <row r="364" spans="3:27">
      <c r="C364" s="68"/>
      <c r="D364" s="72"/>
      <c r="E364" s="72"/>
      <c r="F364" s="237"/>
      <c r="G364" s="123"/>
      <c r="H364" s="219"/>
      <c r="I364" s="119" t="s">
        <v>135</v>
      </c>
      <c r="J364" s="120"/>
      <c r="K364" s="121"/>
      <c r="L364" s="238" t="str">
        <f>IF(L359="","",
IF(L363="Name",L232&amp;"-"&amp;L359,
IF(LEFT(L232,1)="※",L232)))</f>
        <v/>
      </c>
      <c r="M364" s="136"/>
      <c r="N364" s="136"/>
      <c r="O364" s="136"/>
      <c r="P364" s="136"/>
      <c r="Q364" s="136"/>
      <c r="R364" s="136"/>
      <c r="S364" s="136"/>
      <c r="T364" s="136"/>
      <c r="U364" s="136"/>
      <c r="V364" s="136"/>
      <c r="W364" s="136"/>
      <c r="X364" s="136"/>
      <c r="Y364" s="136"/>
      <c r="Z364" s="136"/>
      <c r="AA364" s="136"/>
    </row>
    <row r="365" spans="3:27">
      <c r="C365" s="68"/>
      <c r="D365" s="72"/>
      <c r="E365" s="72"/>
      <c r="F365" s="134" t="s">
        <v>650</v>
      </c>
      <c r="G365" s="114"/>
      <c r="H365" s="164"/>
      <c r="I365" s="116" t="s">
        <v>649</v>
      </c>
      <c r="J365" s="122"/>
      <c r="K365" s="182"/>
      <c r="L365" s="178" t="str">
        <f>IF(L359="","",
IF(L231="HostName","VolumeName",
IF(LEFT(L231,1)="※",L231)))</f>
        <v/>
      </c>
      <c r="M365" s="136"/>
      <c r="N365" s="136"/>
      <c r="O365" s="136"/>
      <c r="P365" s="136"/>
      <c r="Q365" s="136"/>
      <c r="R365" s="136"/>
      <c r="S365" s="136"/>
      <c r="T365" s="136"/>
      <c r="U365" s="136"/>
      <c r="V365" s="136"/>
      <c r="W365" s="136"/>
      <c r="X365" s="136"/>
      <c r="Y365" s="136"/>
      <c r="Z365" s="136"/>
      <c r="AA365" s="136"/>
    </row>
    <row r="366" spans="3:27">
      <c r="C366" s="68"/>
      <c r="D366" s="72"/>
      <c r="E366" s="72"/>
      <c r="F366" s="237"/>
      <c r="G366" s="123"/>
      <c r="H366" s="219"/>
      <c r="I366" s="119" t="s">
        <v>135</v>
      </c>
      <c r="J366" s="120"/>
      <c r="K366" s="121"/>
      <c r="L366" s="238" t="str">
        <f>IF(L359="","",
IF(L365="VolumeName",L232&amp;"-"&amp;L359,
IF(LEFT(L232,1)="※",L232)))</f>
        <v/>
      </c>
      <c r="M366" s="136"/>
      <c r="N366" s="136"/>
      <c r="O366" s="136"/>
      <c r="P366" s="136"/>
      <c r="Q366" s="136"/>
      <c r="R366" s="136"/>
      <c r="S366" s="136"/>
      <c r="T366" s="136"/>
      <c r="U366" s="136"/>
      <c r="V366" s="136"/>
      <c r="W366" s="136"/>
      <c r="X366" s="136"/>
      <c r="Y366" s="136"/>
      <c r="Z366" s="136"/>
      <c r="AA366" s="136"/>
    </row>
    <row r="367" spans="3:27">
      <c r="C367" s="68"/>
      <c r="D367" s="72"/>
      <c r="E367" s="72"/>
      <c r="F367" s="134" t="s">
        <v>215</v>
      </c>
      <c r="G367" s="114"/>
      <c r="H367" s="164"/>
      <c r="I367" s="116" t="s">
        <v>649</v>
      </c>
      <c r="J367" s="122"/>
      <c r="K367" s="182"/>
      <c r="L367" s="178" t="str">
        <f>IF(L359="","",
IF(L236="System",L236,
IF(LEFT(L236,1)="※",L236)))</f>
        <v/>
      </c>
      <c r="M367" s="136"/>
      <c r="N367" s="136"/>
      <c r="O367" s="136"/>
      <c r="P367" s="136"/>
      <c r="Q367" s="136"/>
      <c r="R367" s="136"/>
      <c r="S367" s="136"/>
      <c r="T367" s="136"/>
      <c r="U367" s="136"/>
      <c r="V367" s="136"/>
      <c r="W367" s="136"/>
      <c r="X367" s="136"/>
      <c r="Y367" s="136"/>
      <c r="Z367" s="136"/>
      <c r="AA367" s="136"/>
    </row>
    <row r="368" spans="3:27">
      <c r="C368" s="68"/>
      <c r="D368" s="72"/>
      <c r="E368" s="72"/>
      <c r="F368" s="237"/>
      <c r="G368" s="123"/>
      <c r="H368" s="219"/>
      <c r="I368" s="119" t="s">
        <v>135</v>
      </c>
      <c r="J368" s="120"/>
      <c r="K368" s="121"/>
      <c r="L368" s="238" t="str">
        <f>IF(L359="","",
IF(L367="System",L237,
IF(LEFT(L237,1)="※",L237)))</f>
        <v/>
      </c>
      <c r="M368" s="136"/>
      <c r="N368" s="136"/>
      <c r="O368" s="136"/>
      <c r="P368" s="136"/>
      <c r="Q368" s="136"/>
      <c r="R368" s="136"/>
      <c r="S368" s="136"/>
      <c r="T368" s="136"/>
      <c r="U368" s="136"/>
      <c r="V368" s="136"/>
      <c r="W368" s="136"/>
      <c r="X368" s="136"/>
      <c r="Y368" s="136"/>
      <c r="Z368" s="136"/>
      <c r="AA368" s="136"/>
    </row>
    <row r="369" spans="3:27">
      <c r="C369" s="68"/>
      <c r="D369" s="72"/>
      <c r="E369" s="72"/>
      <c r="F369" s="134" t="s">
        <v>216</v>
      </c>
      <c r="G369" s="114"/>
      <c r="H369" s="164"/>
      <c r="I369" s="116" t="s">
        <v>649</v>
      </c>
      <c r="J369" s="122"/>
      <c r="K369" s="182"/>
      <c r="L369" s="178" t="str" cm="1">
        <f t="array" aca="1" ref="L369" ca="1">IF(L359="","",
IF(LEN($L$26)&lt;2,"-",
IF($L$27="","※部門コードを入力してください。"&amp;"(セル：L"&amp;CELL("row",$L$27)&amp;")",
IF(AND($L$26&lt;&gt;"",$L$27&lt;&gt;""),"CostAllocation"))))</f>
        <v/>
      </c>
      <c r="M369" s="136"/>
      <c r="N369" s="136"/>
      <c r="O369" s="136"/>
      <c r="P369" s="136"/>
      <c r="Q369" s="136"/>
      <c r="R369" s="136"/>
      <c r="S369" s="136"/>
      <c r="T369" s="136"/>
      <c r="U369" s="136"/>
      <c r="V369" s="136"/>
      <c r="W369" s="136"/>
      <c r="X369" s="136"/>
      <c r="Y369" s="136"/>
      <c r="Z369" s="136"/>
      <c r="AA369" s="136"/>
    </row>
    <row r="370" spans="3:27">
      <c r="C370" s="68"/>
      <c r="D370" s="72"/>
      <c r="E370" s="72"/>
      <c r="F370" s="237"/>
      <c r="G370" s="123"/>
      <c r="H370" s="219"/>
      <c r="I370" s="119" t="s">
        <v>135</v>
      </c>
      <c r="J370" s="120"/>
      <c r="K370" s="121"/>
      <c r="L370" s="246" t="str">
        <f ca="1">IF(L369="CostAllocation",$L$26&amp;"-"&amp;$L$27,L369)</f>
        <v/>
      </c>
      <c r="M370" s="136"/>
      <c r="N370" s="136"/>
      <c r="O370" s="136"/>
      <c r="P370" s="136"/>
      <c r="Q370" s="136"/>
      <c r="R370" s="136"/>
      <c r="S370" s="136"/>
      <c r="T370" s="136"/>
      <c r="U370" s="136"/>
      <c r="V370" s="136"/>
      <c r="W370" s="136"/>
      <c r="X370" s="136"/>
      <c r="Y370" s="136"/>
      <c r="Z370" s="136"/>
      <c r="AA370" s="136"/>
    </row>
    <row r="371" spans="3:27">
      <c r="C371" s="68"/>
      <c r="D371" s="72"/>
      <c r="E371" s="72"/>
      <c r="F371" s="134" t="s">
        <v>622</v>
      </c>
      <c r="G371" s="114"/>
      <c r="H371" s="164"/>
      <c r="I371" s="116" t="s">
        <v>649</v>
      </c>
      <c r="J371" s="122"/>
      <c r="K371" s="182"/>
      <c r="L371" s="178" t="str">
        <f>IF(L55="","",L231)</f>
        <v/>
      </c>
      <c r="M371" s="136"/>
      <c r="N371" s="136"/>
      <c r="O371" s="136"/>
      <c r="P371" s="136"/>
      <c r="Q371" s="136"/>
      <c r="R371" s="136"/>
      <c r="S371" s="136"/>
      <c r="T371" s="136"/>
      <c r="U371" s="136"/>
      <c r="V371" s="136"/>
      <c r="W371" s="136"/>
      <c r="X371" s="136"/>
      <c r="Y371" s="136"/>
      <c r="Z371" s="136"/>
      <c r="AA371" s="136"/>
    </row>
    <row r="372" spans="3:27">
      <c r="C372" s="68"/>
      <c r="D372" s="72"/>
      <c r="E372" s="72"/>
      <c r="F372" s="237"/>
      <c r="G372" s="123"/>
      <c r="H372" s="219"/>
      <c r="I372" s="119" t="s">
        <v>135</v>
      </c>
      <c r="J372" s="120"/>
      <c r="K372" s="121"/>
      <c r="L372" s="246" t="str">
        <f>IF(L55="","",L232)</f>
        <v/>
      </c>
      <c r="M372" s="136"/>
      <c r="N372" s="136"/>
      <c r="O372" s="136"/>
      <c r="P372" s="136"/>
      <c r="Q372" s="136"/>
      <c r="R372" s="136"/>
      <c r="S372" s="136"/>
      <c r="T372" s="136"/>
      <c r="U372" s="136"/>
      <c r="V372" s="136"/>
      <c r="W372" s="136"/>
      <c r="X372" s="136"/>
      <c r="Y372" s="136"/>
      <c r="Z372" s="136"/>
      <c r="AA372" s="136"/>
    </row>
    <row r="373" spans="3:27">
      <c r="C373" s="68"/>
      <c r="D373" s="72"/>
      <c r="E373" s="114" t="s">
        <v>655</v>
      </c>
      <c r="F373" s="114"/>
      <c r="G373" s="114"/>
      <c r="H373" s="114"/>
      <c r="I373" s="114"/>
      <c r="J373" s="114"/>
      <c r="K373" s="114"/>
      <c r="L373" s="175"/>
      <c r="M373" s="136"/>
      <c r="N373" s="136"/>
      <c r="O373" s="136"/>
      <c r="P373" s="136"/>
      <c r="Q373" s="136"/>
      <c r="R373" s="136"/>
      <c r="S373" s="136"/>
      <c r="T373" s="136"/>
      <c r="U373" s="136"/>
      <c r="V373" s="136"/>
      <c r="W373" s="136"/>
      <c r="X373" s="136"/>
      <c r="Y373" s="136"/>
      <c r="Z373" s="136"/>
      <c r="AA373" s="136"/>
    </row>
    <row r="374" spans="3:27">
      <c r="C374" s="68"/>
      <c r="D374" s="72"/>
      <c r="E374" s="72"/>
      <c r="F374" s="114" t="s">
        <v>661</v>
      </c>
      <c r="G374" s="114"/>
      <c r="H374" s="114"/>
      <c r="I374" s="114"/>
      <c r="J374" s="114"/>
      <c r="K374" s="164"/>
      <c r="L374" s="210" t="str">
        <f>L181</f>
        <v/>
      </c>
      <c r="M374" s="136"/>
      <c r="N374" s="136"/>
      <c r="O374" s="136"/>
      <c r="P374" s="136"/>
      <c r="Q374" s="136"/>
      <c r="R374" s="136"/>
      <c r="S374" s="136"/>
      <c r="T374" s="136"/>
      <c r="U374" s="136"/>
      <c r="V374" s="136"/>
      <c r="W374" s="136"/>
      <c r="X374" s="136"/>
      <c r="Y374" s="136"/>
      <c r="Z374" s="136"/>
      <c r="AA374" s="136"/>
    </row>
    <row r="375" spans="3:27">
      <c r="C375" s="68"/>
      <c r="D375" s="72"/>
      <c r="E375" s="72"/>
      <c r="F375" s="114" t="s">
        <v>660</v>
      </c>
      <c r="G375" s="114"/>
      <c r="H375" s="114"/>
      <c r="I375" s="114"/>
      <c r="J375" s="114"/>
      <c r="K375" s="164"/>
      <c r="L375" s="239" t="str">
        <f>L182</f>
        <v/>
      </c>
      <c r="M375" s="136"/>
      <c r="N375" s="136"/>
      <c r="O375" s="136"/>
      <c r="P375" s="136"/>
      <c r="Q375" s="136"/>
      <c r="R375" s="136"/>
      <c r="S375" s="136"/>
      <c r="T375" s="136"/>
      <c r="U375" s="136"/>
      <c r="V375" s="136"/>
      <c r="W375" s="136"/>
      <c r="X375" s="136"/>
      <c r="Y375" s="136"/>
      <c r="Z375" s="136"/>
      <c r="AA375" s="136"/>
    </row>
    <row r="376" spans="3:27">
      <c r="C376" s="68"/>
      <c r="D376" s="72"/>
      <c r="E376" s="72"/>
      <c r="F376" s="114" t="s">
        <v>647</v>
      </c>
      <c r="G376" s="114"/>
      <c r="H376" s="114"/>
      <c r="I376" s="114"/>
      <c r="J376" s="114"/>
      <c r="K376" s="164"/>
      <c r="L376" s="228"/>
      <c r="M376" s="136"/>
      <c r="N376" s="136"/>
      <c r="O376" s="136"/>
      <c r="P376" s="136"/>
      <c r="Q376" s="136"/>
      <c r="R376" s="136"/>
      <c r="S376" s="136"/>
      <c r="T376" s="136"/>
      <c r="U376" s="136"/>
      <c r="V376" s="136"/>
      <c r="W376" s="136"/>
      <c r="X376" s="136"/>
      <c r="Y376" s="136"/>
      <c r="Z376" s="136"/>
      <c r="AA376" s="136"/>
    </row>
    <row r="377" spans="3:27">
      <c r="C377" s="68"/>
      <c r="D377" s="72"/>
      <c r="E377" s="72"/>
      <c r="F377" s="114" t="s">
        <v>665</v>
      </c>
      <c r="G377" s="114"/>
      <c r="H377" s="114"/>
      <c r="I377" s="114"/>
      <c r="J377" s="114"/>
      <c r="K377" s="164"/>
      <c r="L377" s="239" t="str">
        <f>IF(L374="","","暗号化済み")</f>
        <v/>
      </c>
      <c r="M377" s="136"/>
      <c r="N377" s="136"/>
      <c r="O377" s="136"/>
      <c r="P377" s="136"/>
      <c r="Q377" s="136"/>
      <c r="R377" s="136"/>
      <c r="S377" s="136"/>
      <c r="T377" s="136"/>
      <c r="U377" s="136"/>
      <c r="V377" s="136"/>
      <c r="W377" s="136"/>
      <c r="X377" s="136"/>
      <c r="Y377" s="136"/>
      <c r="Z377" s="136"/>
      <c r="AA377" s="136"/>
    </row>
    <row r="378" spans="3:27">
      <c r="C378" s="68"/>
      <c r="D378" s="72"/>
      <c r="E378" s="72"/>
      <c r="F378" s="134" t="s">
        <v>648</v>
      </c>
      <c r="G378" s="114"/>
      <c r="H378" s="164"/>
      <c r="I378" s="116" t="s">
        <v>649</v>
      </c>
      <c r="J378" s="122"/>
      <c r="K378" s="182"/>
      <c r="L378" s="178" t="str">
        <f>IF(L374="","",
IF(L231="HostName","Name",
IF(LEFT(L231,1)="※",L231)))</f>
        <v/>
      </c>
      <c r="M378" s="136"/>
      <c r="N378" s="136"/>
      <c r="O378" s="136"/>
      <c r="P378" s="136"/>
      <c r="Q378" s="136"/>
      <c r="R378" s="136"/>
      <c r="S378" s="136"/>
      <c r="T378" s="136"/>
      <c r="U378" s="136"/>
      <c r="V378" s="136"/>
      <c r="W378" s="136"/>
      <c r="X378" s="136"/>
      <c r="Y378" s="136"/>
      <c r="Z378" s="136"/>
      <c r="AA378" s="136"/>
    </row>
    <row r="379" spans="3:27">
      <c r="C379" s="68"/>
      <c r="D379" s="72"/>
      <c r="E379" s="72"/>
      <c r="F379" s="237"/>
      <c r="G379" s="123"/>
      <c r="H379" s="219"/>
      <c r="I379" s="119" t="s">
        <v>135</v>
      </c>
      <c r="J379" s="120"/>
      <c r="K379" s="121"/>
      <c r="L379" s="238" t="str">
        <f>IF(L374="","",
IF(L378="Name",L232&amp;"-"&amp;L374,
IF(LEFT(L232,1)="※",L232)))</f>
        <v/>
      </c>
      <c r="M379" s="136"/>
      <c r="N379" s="136"/>
      <c r="O379" s="136"/>
      <c r="P379" s="136"/>
      <c r="Q379" s="136"/>
      <c r="R379" s="136"/>
      <c r="S379" s="136"/>
      <c r="T379" s="136"/>
      <c r="U379" s="136"/>
      <c r="V379" s="136"/>
      <c r="W379" s="136"/>
      <c r="X379" s="136"/>
      <c r="Y379" s="136"/>
      <c r="Z379" s="136"/>
      <c r="AA379" s="136"/>
    </row>
    <row r="380" spans="3:27">
      <c r="C380" s="68"/>
      <c r="D380" s="72"/>
      <c r="E380" s="72"/>
      <c r="F380" s="134" t="s">
        <v>650</v>
      </c>
      <c r="G380" s="114"/>
      <c r="H380" s="164"/>
      <c r="I380" s="116" t="s">
        <v>649</v>
      </c>
      <c r="J380" s="122"/>
      <c r="K380" s="182"/>
      <c r="L380" s="178" t="str">
        <f>IF(L374="","",
IF(L231="HostName","VolumeName",
IF(LEFT(L231,1)="※",L231)))</f>
        <v/>
      </c>
      <c r="M380" s="136"/>
      <c r="N380" s="136"/>
      <c r="O380" s="136"/>
      <c r="P380" s="136"/>
      <c r="Q380" s="136"/>
      <c r="R380" s="136"/>
      <c r="S380" s="136"/>
      <c r="T380" s="136"/>
      <c r="U380" s="136"/>
      <c r="V380" s="136"/>
      <c r="W380" s="136"/>
      <c r="X380" s="136"/>
      <c r="Y380" s="136"/>
      <c r="Z380" s="136"/>
      <c r="AA380" s="136"/>
    </row>
    <row r="381" spans="3:27">
      <c r="C381" s="68"/>
      <c r="D381" s="72"/>
      <c r="E381" s="72"/>
      <c r="F381" s="237"/>
      <c r="G381" s="123"/>
      <c r="H381" s="219"/>
      <c r="I381" s="119" t="s">
        <v>135</v>
      </c>
      <c r="J381" s="120"/>
      <c r="K381" s="121"/>
      <c r="L381" s="238" t="str">
        <f>IF(L374="","",
IF(L380="VolumeName",L232&amp;"-"&amp;L374,
IF(LEFT(L232,1)="※",L232)))</f>
        <v/>
      </c>
      <c r="M381" s="136"/>
      <c r="N381" s="136"/>
      <c r="O381" s="136"/>
      <c r="P381" s="136"/>
      <c r="Q381" s="136"/>
      <c r="R381" s="136"/>
      <c r="S381" s="136"/>
      <c r="T381" s="136"/>
      <c r="U381" s="136"/>
      <c r="V381" s="136"/>
      <c r="W381" s="136"/>
      <c r="X381" s="136"/>
      <c r="Y381" s="136"/>
      <c r="Z381" s="136"/>
      <c r="AA381" s="136"/>
    </row>
    <row r="382" spans="3:27">
      <c r="C382" s="68"/>
      <c r="D382" s="72"/>
      <c r="E382" s="72"/>
      <c r="F382" s="134" t="s">
        <v>215</v>
      </c>
      <c r="G382" s="114"/>
      <c r="H382" s="164"/>
      <c r="I382" s="116" t="s">
        <v>649</v>
      </c>
      <c r="J382" s="122"/>
      <c r="K382" s="182"/>
      <c r="L382" s="178" t="str">
        <f>IF(L374="","",
IF(L236="System",L236,
IF(LEFT(L236,1)="※",L236)))</f>
        <v/>
      </c>
      <c r="M382" s="136"/>
      <c r="N382" s="136"/>
      <c r="O382" s="136"/>
      <c r="P382" s="136"/>
      <c r="Q382" s="136"/>
      <c r="R382" s="136"/>
      <c r="S382" s="136"/>
      <c r="T382" s="136"/>
      <c r="U382" s="136"/>
      <c r="V382" s="136"/>
      <c r="W382" s="136"/>
      <c r="X382" s="136"/>
      <c r="Y382" s="136"/>
      <c r="Z382" s="136"/>
      <c r="AA382" s="136"/>
    </row>
    <row r="383" spans="3:27">
      <c r="C383" s="68"/>
      <c r="D383" s="72"/>
      <c r="E383" s="72"/>
      <c r="F383" s="237"/>
      <c r="G383" s="123"/>
      <c r="H383" s="219"/>
      <c r="I383" s="119" t="s">
        <v>135</v>
      </c>
      <c r="J383" s="120"/>
      <c r="K383" s="121"/>
      <c r="L383" s="238" t="str">
        <f>IF(L374="","",
IF(L382="System",L237,
IF(LEFT(L237,1)="※",L237)))</f>
        <v/>
      </c>
      <c r="M383" s="136"/>
      <c r="N383" s="136"/>
      <c r="O383" s="136"/>
      <c r="P383" s="136"/>
      <c r="Q383" s="136"/>
      <c r="R383" s="136"/>
      <c r="S383" s="136"/>
      <c r="T383" s="136"/>
      <c r="U383" s="136"/>
      <c r="V383" s="136"/>
      <c r="W383" s="136"/>
      <c r="X383" s="136"/>
      <c r="Y383" s="136"/>
      <c r="Z383" s="136"/>
      <c r="AA383" s="136"/>
    </row>
    <row r="384" spans="3:27">
      <c r="C384" s="68"/>
      <c r="D384" s="72"/>
      <c r="E384" s="72"/>
      <c r="F384" s="134" t="s">
        <v>216</v>
      </c>
      <c r="G384" s="114"/>
      <c r="H384" s="164"/>
      <c r="I384" s="116" t="s">
        <v>649</v>
      </c>
      <c r="J384" s="122"/>
      <c r="K384" s="182"/>
      <c r="L384" s="178" t="str" cm="1">
        <f t="array" aca="1" ref="L384" ca="1">IF(L374="","",
IF(LEN($L$26)&lt;2,"-",
IF($L$27="","※部門コードを入力してください。"&amp;"(セル：L"&amp;CELL("row",$L$27)&amp;")",
IF(AND($L$26&lt;&gt;"",$L$27&lt;&gt;""),"CostAllocation"))))</f>
        <v/>
      </c>
      <c r="M384" s="136"/>
      <c r="N384" s="136"/>
      <c r="O384" s="136"/>
      <c r="P384" s="136"/>
      <c r="Q384" s="136"/>
      <c r="R384" s="136"/>
      <c r="S384" s="136"/>
      <c r="T384" s="136"/>
      <c r="U384" s="136"/>
      <c r="V384" s="136"/>
      <c r="W384" s="136"/>
      <c r="X384" s="136"/>
      <c r="Y384" s="136"/>
      <c r="Z384" s="136"/>
      <c r="AA384" s="136"/>
    </row>
    <row r="385" spans="3:27">
      <c r="C385" s="68"/>
      <c r="D385" s="72"/>
      <c r="E385" s="72"/>
      <c r="F385" s="237"/>
      <c r="G385" s="123"/>
      <c r="H385" s="219"/>
      <c r="I385" s="119" t="s">
        <v>135</v>
      </c>
      <c r="J385" s="120"/>
      <c r="K385" s="121"/>
      <c r="L385" s="246" t="str">
        <f ca="1">IF(L384="CostAllocation",$L$26&amp;"-"&amp;$L$27,L384)</f>
        <v/>
      </c>
      <c r="M385" s="136"/>
      <c r="N385" s="136"/>
      <c r="O385" s="136"/>
      <c r="P385" s="136"/>
      <c r="Q385" s="136"/>
      <c r="R385" s="136"/>
      <c r="S385" s="136"/>
      <c r="T385" s="136"/>
      <c r="U385" s="136"/>
      <c r="V385" s="136"/>
      <c r="W385" s="136"/>
      <c r="X385" s="136"/>
      <c r="Y385" s="136"/>
      <c r="Z385" s="136"/>
      <c r="AA385" s="136"/>
    </row>
    <row r="386" spans="3:27">
      <c r="C386" s="68"/>
      <c r="D386" s="72"/>
      <c r="E386" s="72"/>
      <c r="F386" s="134" t="s">
        <v>622</v>
      </c>
      <c r="G386" s="114"/>
      <c r="H386" s="164"/>
      <c r="I386" s="116" t="s">
        <v>649</v>
      </c>
      <c r="J386" s="122"/>
      <c r="K386" s="182"/>
      <c r="L386" s="178" t="str">
        <f>IF(L61="","",L231)</f>
        <v/>
      </c>
      <c r="M386" s="136"/>
      <c r="N386" s="136"/>
      <c r="O386" s="136"/>
      <c r="P386" s="136"/>
      <c r="Q386" s="136"/>
      <c r="R386" s="136"/>
      <c r="S386" s="136"/>
      <c r="T386" s="136"/>
      <c r="U386" s="136"/>
      <c r="V386" s="136"/>
      <c r="W386" s="136"/>
      <c r="X386" s="136"/>
      <c r="Y386" s="136"/>
      <c r="Z386" s="136"/>
      <c r="AA386" s="136"/>
    </row>
    <row r="387" spans="3:27">
      <c r="C387" s="68"/>
      <c r="D387" s="72"/>
      <c r="E387" s="72"/>
      <c r="F387" s="237"/>
      <c r="G387" s="123"/>
      <c r="H387" s="219"/>
      <c r="I387" s="119" t="s">
        <v>135</v>
      </c>
      <c r="J387" s="120"/>
      <c r="K387" s="121"/>
      <c r="L387" s="246" t="str">
        <f>IF(L61="","",L232)</f>
        <v/>
      </c>
      <c r="M387" s="136"/>
      <c r="N387" s="136"/>
      <c r="O387" s="136"/>
      <c r="P387" s="136"/>
      <c r="Q387" s="136"/>
      <c r="R387" s="136"/>
      <c r="S387" s="136"/>
      <c r="T387" s="136"/>
      <c r="U387" s="136"/>
      <c r="V387" s="136"/>
      <c r="W387" s="136"/>
      <c r="X387" s="136"/>
      <c r="Y387" s="136"/>
      <c r="Z387" s="136"/>
      <c r="AA387" s="136"/>
    </row>
    <row r="388" spans="3:27">
      <c r="C388" s="68"/>
      <c r="D388" s="72"/>
      <c r="E388" s="114" t="s">
        <v>656</v>
      </c>
      <c r="F388" s="114"/>
      <c r="G388" s="114"/>
      <c r="H388" s="114"/>
      <c r="I388" s="114"/>
      <c r="J388" s="114"/>
      <c r="K388" s="114"/>
      <c r="L388" s="175"/>
      <c r="M388" s="136"/>
      <c r="N388" s="136"/>
      <c r="O388" s="136"/>
      <c r="P388" s="136"/>
      <c r="Q388" s="136"/>
      <c r="R388" s="136"/>
      <c r="S388" s="136"/>
      <c r="T388" s="136"/>
      <c r="U388" s="136"/>
      <c r="V388" s="136"/>
      <c r="W388" s="136"/>
      <c r="X388" s="136"/>
      <c r="Y388" s="136"/>
      <c r="Z388" s="136"/>
      <c r="AA388" s="136"/>
    </row>
    <row r="389" spans="3:27">
      <c r="C389" s="68"/>
      <c r="D389" s="72"/>
      <c r="E389" s="72"/>
      <c r="F389" s="114" t="s">
        <v>661</v>
      </c>
      <c r="G389" s="114"/>
      <c r="H389" s="114"/>
      <c r="I389" s="114"/>
      <c r="J389" s="114"/>
      <c r="K389" s="164"/>
      <c r="L389" s="210" t="str">
        <f>L190</f>
        <v/>
      </c>
      <c r="M389" s="136"/>
      <c r="N389" s="136"/>
      <c r="O389" s="136"/>
      <c r="P389" s="136"/>
      <c r="Q389" s="136"/>
      <c r="R389" s="136"/>
      <c r="S389" s="136"/>
      <c r="T389" s="136"/>
      <c r="U389" s="136"/>
      <c r="V389" s="136"/>
      <c r="W389" s="136"/>
      <c r="X389" s="136"/>
      <c r="Y389" s="136"/>
      <c r="Z389" s="136"/>
      <c r="AA389" s="136"/>
    </row>
    <row r="390" spans="3:27">
      <c r="C390" s="68"/>
      <c r="D390" s="72"/>
      <c r="E390" s="72"/>
      <c r="F390" s="114" t="s">
        <v>660</v>
      </c>
      <c r="G390" s="114"/>
      <c r="H390" s="114"/>
      <c r="I390" s="114"/>
      <c r="J390" s="114"/>
      <c r="K390" s="164"/>
      <c r="L390" s="239" t="str">
        <f>L191</f>
        <v/>
      </c>
      <c r="M390" s="136"/>
      <c r="N390" s="136"/>
      <c r="O390" s="136"/>
      <c r="P390" s="136"/>
      <c r="Q390" s="136"/>
      <c r="R390" s="136"/>
      <c r="S390" s="136"/>
      <c r="T390" s="136"/>
      <c r="U390" s="136"/>
      <c r="V390" s="136"/>
      <c r="W390" s="136"/>
      <c r="X390" s="136"/>
      <c r="Y390" s="136"/>
      <c r="Z390" s="136"/>
      <c r="AA390" s="136"/>
    </row>
    <row r="391" spans="3:27">
      <c r="C391" s="68"/>
      <c r="D391" s="72"/>
      <c r="E391" s="72"/>
      <c r="F391" s="114" t="s">
        <v>647</v>
      </c>
      <c r="G391" s="114"/>
      <c r="H391" s="114"/>
      <c r="I391" s="114"/>
      <c r="J391" s="114"/>
      <c r="K391" s="164"/>
      <c r="L391" s="228"/>
      <c r="M391" s="136"/>
      <c r="N391" s="136"/>
      <c r="O391" s="136"/>
      <c r="P391" s="136"/>
      <c r="Q391" s="136"/>
      <c r="R391" s="136"/>
      <c r="S391" s="136"/>
      <c r="T391" s="136"/>
      <c r="U391" s="136"/>
      <c r="V391" s="136"/>
      <c r="W391" s="136"/>
      <c r="X391" s="136"/>
      <c r="Y391" s="136"/>
      <c r="Z391" s="136"/>
      <c r="AA391" s="136"/>
    </row>
    <row r="392" spans="3:27">
      <c r="C392" s="68"/>
      <c r="D392" s="72"/>
      <c r="E392" s="72"/>
      <c r="F392" s="114" t="s">
        <v>665</v>
      </c>
      <c r="G392" s="114"/>
      <c r="H392" s="114"/>
      <c r="I392" s="114"/>
      <c r="J392" s="114"/>
      <c r="K392" s="164"/>
      <c r="L392" s="239" t="str">
        <f>IF(L389="","","暗号化済み")</f>
        <v/>
      </c>
      <c r="M392" s="136"/>
      <c r="N392" s="136"/>
      <c r="O392" s="136"/>
      <c r="P392" s="136"/>
      <c r="Q392" s="136"/>
      <c r="R392" s="136"/>
      <c r="S392" s="136"/>
      <c r="T392" s="136"/>
      <c r="U392" s="136"/>
      <c r="V392" s="136"/>
      <c r="W392" s="136"/>
      <c r="X392" s="136"/>
      <c r="Y392" s="136"/>
      <c r="Z392" s="136"/>
      <c r="AA392" s="136"/>
    </row>
    <row r="393" spans="3:27">
      <c r="C393" s="68"/>
      <c r="D393" s="72"/>
      <c r="E393" s="72"/>
      <c r="F393" s="134" t="s">
        <v>648</v>
      </c>
      <c r="G393" s="114"/>
      <c r="H393" s="164"/>
      <c r="I393" s="116" t="s">
        <v>649</v>
      </c>
      <c r="J393" s="122"/>
      <c r="K393" s="182"/>
      <c r="L393" s="178" t="str">
        <f>IF(L389="","",
IF(L231="HostName","Name",
IF(LEFT(L231,1)="※",L231)))</f>
        <v/>
      </c>
      <c r="M393" s="136"/>
      <c r="N393" s="136"/>
      <c r="O393" s="136"/>
      <c r="P393" s="136"/>
      <c r="Q393" s="136"/>
      <c r="R393" s="136"/>
      <c r="S393" s="136"/>
      <c r="T393" s="136"/>
      <c r="U393" s="136"/>
      <c r="V393" s="136"/>
      <c r="W393" s="136"/>
      <c r="X393" s="136"/>
      <c r="Y393" s="136"/>
      <c r="Z393" s="136"/>
      <c r="AA393" s="136"/>
    </row>
    <row r="394" spans="3:27">
      <c r="C394" s="68"/>
      <c r="D394" s="72"/>
      <c r="E394" s="72"/>
      <c r="F394" s="237"/>
      <c r="G394" s="123"/>
      <c r="H394" s="219"/>
      <c r="I394" s="119" t="s">
        <v>135</v>
      </c>
      <c r="J394" s="120"/>
      <c r="K394" s="121"/>
      <c r="L394" s="238" t="str">
        <f>IF(L389="","",
IF(L393="Name",L232&amp;"-"&amp;L389,
IF(LEFT(L232,1)="※",L232)))</f>
        <v/>
      </c>
      <c r="M394" s="136"/>
      <c r="N394" s="136"/>
      <c r="O394" s="136"/>
      <c r="P394" s="136"/>
      <c r="Q394" s="136"/>
      <c r="R394" s="136"/>
      <c r="S394" s="136"/>
      <c r="T394" s="136"/>
      <c r="U394" s="136"/>
      <c r="V394" s="136"/>
      <c r="W394" s="136"/>
      <c r="X394" s="136"/>
      <c r="Y394" s="136"/>
      <c r="Z394" s="136"/>
      <c r="AA394" s="136"/>
    </row>
    <row r="395" spans="3:27">
      <c r="C395" s="68"/>
      <c r="D395" s="72"/>
      <c r="E395" s="72"/>
      <c r="F395" s="134" t="s">
        <v>650</v>
      </c>
      <c r="G395" s="114"/>
      <c r="H395" s="164"/>
      <c r="I395" s="116" t="s">
        <v>649</v>
      </c>
      <c r="J395" s="122"/>
      <c r="K395" s="182"/>
      <c r="L395" s="178" t="str">
        <f>IF(L389="","",
IF(L231="HostName","VolumeName",
IF(LEFT(L231,1)="※",L231)))</f>
        <v/>
      </c>
      <c r="M395" s="136"/>
      <c r="N395" s="136"/>
      <c r="O395" s="136"/>
      <c r="P395" s="136"/>
      <c r="Q395" s="136"/>
      <c r="R395" s="136"/>
      <c r="S395" s="136"/>
      <c r="T395" s="136"/>
      <c r="U395" s="136"/>
      <c r="V395" s="136"/>
      <c r="W395" s="136"/>
      <c r="X395" s="136"/>
      <c r="Y395" s="136"/>
      <c r="Z395" s="136"/>
      <c r="AA395" s="136"/>
    </row>
    <row r="396" spans="3:27">
      <c r="C396" s="68"/>
      <c r="D396" s="72"/>
      <c r="E396" s="72"/>
      <c r="F396" s="237"/>
      <c r="G396" s="123"/>
      <c r="H396" s="219"/>
      <c r="I396" s="119" t="s">
        <v>135</v>
      </c>
      <c r="J396" s="120"/>
      <c r="K396" s="121"/>
      <c r="L396" s="238" t="str">
        <f>IF(L389="","",
IF(L395="VolumeName",L232&amp;"-"&amp;L389,
IF(LEFT(L232,1)="※",L232)))</f>
        <v/>
      </c>
      <c r="M396" s="136"/>
      <c r="N396" s="136"/>
      <c r="O396" s="136"/>
      <c r="P396" s="136"/>
      <c r="Q396" s="136"/>
      <c r="R396" s="136"/>
      <c r="S396" s="136"/>
      <c r="T396" s="136"/>
      <c r="U396" s="136"/>
      <c r="V396" s="136"/>
      <c r="W396" s="136"/>
      <c r="X396" s="136"/>
      <c r="Y396" s="136"/>
      <c r="Z396" s="136"/>
      <c r="AA396" s="136"/>
    </row>
    <row r="397" spans="3:27">
      <c r="C397" s="68"/>
      <c r="D397" s="72"/>
      <c r="E397" s="72"/>
      <c r="F397" s="134" t="s">
        <v>215</v>
      </c>
      <c r="G397" s="114"/>
      <c r="H397" s="164"/>
      <c r="I397" s="116" t="s">
        <v>649</v>
      </c>
      <c r="J397" s="122"/>
      <c r="K397" s="182"/>
      <c r="L397" s="178" t="str">
        <f>IF(L389="","",
IF(L236="System",L236,
IF(LEFT(L236,1)="※",L236)))</f>
        <v/>
      </c>
      <c r="M397" s="136"/>
      <c r="N397" s="136"/>
      <c r="O397" s="136"/>
      <c r="P397" s="136"/>
      <c r="Q397" s="136"/>
      <c r="R397" s="136"/>
      <c r="S397" s="136"/>
      <c r="T397" s="136"/>
      <c r="U397" s="136"/>
      <c r="V397" s="136"/>
      <c r="W397" s="136"/>
      <c r="X397" s="136"/>
      <c r="Y397" s="136"/>
      <c r="Z397" s="136"/>
      <c r="AA397" s="136"/>
    </row>
    <row r="398" spans="3:27">
      <c r="C398" s="68"/>
      <c r="D398" s="72"/>
      <c r="E398" s="72"/>
      <c r="F398" s="237"/>
      <c r="G398" s="123"/>
      <c r="H398" s="219"/>
      <c r="I398" s="119" t="s">
        <v>135</v>
      </c>
      <c r="J398" s="120"/>
      <c r="K398" s="121"/>
      <c r="L398" s="238" t="str">
        <f>IF(L389="","",
IF(L397="System",L237,
IF(LEFT(L237,1)="※",L237)))</f>
        <v/>
      </c>
      <c r="M398" s="136"/>
      <c r="N398" s="136"/>
      <c r="O398" s="136"/>
      <c r="P398" s="136"/>
      <c r="Q398" s="136"/>
      <c r="R398" s="136"/>
      <c r="S398" s="136"/>
      <c r="T398" s="136"/>
      <c r="U398" s="136"/>
      <c r="V398" s="136"/>
      <c r="W398" s="136"/>
      <c r="X398" s="136"/>
      <c r="Y398" s="136"/>
      <c r="Z398" s="136"/>
      <c r="AA398" s="136"/>
    </row>
    <row r="399" spans="3:27">
      <c r="C399" s="68"/>
      <c r="D399" s="72"/>
      <c r="E399" s="72"/>
      <c r="F399" s="134" t="s">
        <v>216</v>
      </c>
      <c r="G399" s="114"/>
      <c r="H399" s="164"/>
      <c r="I399" s="116" t="s">
        <v>649</v>
      </c>
      <c r="J399" s="122"/>
      <c r="K399" s="182"/>
      <c r="L399" s="178" t="str" cm="1">
        <f t="array" aca="1" ref="L399" ca="1">IF(L389="","",
IF(LEN($L$26)&lt;2,"-",
IF($L$27="","※部門コードを入力してください。"&amp;"(セル：L"&amp;CELL("row",$L$27)&amp;")",
IF(AND($L$26&lt;&gt;"",$L$27&lt;&gt;""),"CostAllocation"))))</f>
        <v/>
      </c>
      <c r="M399" s="136"/>
      <c r="N399" s="136"/>
      <c r="O399" s="136"/>
      <c r="P399" s="136"/>
      <c r="Q399" s="136"/>
      <c r="R399" s="136"/>
      <c r="S399" s="136"/>
      <c r="T399" s="136"/>
      <c r="U399" s="136"/>
      <c r="V399" s="136"/>
      <c r="W399" s="136"/>
      <c r="X399" s="136"/>
      <c r="Y399" s="136"/>
      <c r="Z399" s="136"/>
      <c r="AA399" s="136"/>
    </row>
    <row r="400" spans="3:27">
      <c r="C400" s="68"/>
      <c r="D400" s="72"/>
      <c r="E400" s="72"/>
      <c r="F400" s="237"/>
      <c r="G400" s="123"/>
      <c r="H400" s="219"/>
      <c r="I400" s="119" t="s">
        <v>135</v>
      </c>
      <c r="J400" s="120"/>
      <c r="K400" s="121"/>
      <c r="L400" s="246" t="str">
        <f ca="1">IF(L399="CostAllocation",$L$26&amp;"-"&amp;$L$27,L399)</f>
        <v/>
      </c>
      <c r="M400" s="136"/>
      <c r="N400" s="136"/>
      <c r="O400" s="136"/>
      <c r="P400" s="136"/>
      <c r="Q400" s="136"/>
      <c r="R400" s="136"/>
      <c r="S400" s="136"/>
      <c r="T400" s="136"/>
      <c r="U400" s="136"/>
      <c r="V400" s="136"/>
      <c r="W400" s="136"/>
      <c r="X400" s="136"/>
      <c r="Y400" s="136"/>
      <c r="Z400" s="136"/>
      <c r="AA400" s="136"/>
    </row>
    <row r="401" spans="3:27">
      <c r="C401" s="68"/>
      <c r="D401" s="72"/>
      <c r="E401" s="72"/>
      <c r="F401" s="134" t="s">
        <v>622</v>
      </c>
      <c r="G401" s="114"/>
      <c r="H401" s="164"/>
      <c r="I401" s="116" t="s">
        <v>649</v>
      </c>
      <c r="J401" s="122"/>
      <c r="K401" s="182"/>
      <c r="L401" s="178" t="str">
        <f>IF(L67="","",L231)</f>
        <v/>
      </c>
      <c r="M401" s="136"/>
      <c r="N401" s="136"/>
      <c r="O401" s="136"/>
      <c r="P401" s="136"/>
      <c r="Q401" s="136"/>
      <c r="R401" s="136"/>
      <c r="S401" s="136"/>
      <c r="T401" s="136"/>
      <c r="U401" s="136"/>
      <c r="V401" s="136"/>
      <c r="W401" s="136"/>
      <c r="X401" s="136"/>
      <c r="Y401" s="136"/>
      <c r="Z401" s="136"/>
      <c r="AA401" s="136"/>
    </row>
    <row r="402" spans="3:27">
      <c r="C402" s="68"/>
      <c r="D402" s="72"/>
      <c r="E402" s="72"/>
      <c r="F402" s="237"/>
      <c r="G402" s="123"/>
      <c r="H402" s="219"/>
      <c r="I402" s="119" t="s">
        <v>135</v>
      </c>
      <c r="J402" s="120"/>
      <c r="K402" s="121"/>
      <c r="L402" s="246" t="str">
        <f>IF(L67="","",L232)</f>
        <v/>
      </c>
      <c r="M402" s="136"/>
      <c r="N402" s="136"/>
      <c r="O402" s="136"/>
      <c r="P402" s="136"/>
      <c r="Q402" s="136"/>
      <c r="R402" s="136"/>
      <c r="S402" s="136"/>
      <c r="T402" s="136"/>
      <c r="U402" s="136"/>
      <c r="V402" s="136"/>
      <c r="W402" s="136"/>
      <c r="X402" s="136"/>
      <c r="Y402" s="136"/>
      <c r="Z402" s="136"/>
      <c r="AA402" s="136"/>
    </row>
    <row r="403" spans="3:27">
      <c r="C403" s="68"/>
      <c r="D403" s="72"/>
      <c r="E403" s="114" t="s">
        <v>657</v>
      </c>
      <c r="F403" s="114"/>
      <c r="G403" s="114"/>
      <c r="H403" s="114"/>
      <c r="I403" s="114"/>
      <c r="J403" s="114"/>
      <c r="K403" s="114"/>
      <c r="L403" s="175"/>
      <c r="M403" s="136"/>
      <c r="N403" s="136"/>
      <c r="O403" s="136"/>
      <c r="P403" s="136"/>
      <c r="Q403" s="136"/>
      <c r="R403" s="136"/>
      <c r="S403" s="136"/>
      <c r="T403" s="136"/>
      <c r="U403" s="136"/>
      <c r="V403" s="136"/>
      <c r="W403" s="136"/>
      <c r="X403" s="136"/>
      <c r="Y403" s="136"/>
      <c r="Z403" s="136"/>
      <c r="AA403" s="136"/>
    </row>
    <row r="404" spans="3:27">
      <c r="C404" s="68"/>
      <c r="D404" s="72"/>
      <c r="E404" s="72"/>
      <c r="F404" s="114" t="s">
        <v>661</v>
      </c>
      <c r="G404" s="114"/>
      <c r="H404" s="114"/>
      <c r="I404" s="114"/>
      <c r="J404" s="114"/>
      <c r="K404" s="164"/>
      <c r="L404" s="210" t="str">
        <f>L199</f>
        <v/>
      </c>
      <c r="M404" s="136"/>
      <c r="N404" s="136"/>
      <c r="O404" s="136"/>
      <c r="P404" s="136"/>
      <c r="Q404" s="136"/>
      <c r="R404" s="136"/>
      <c r="S404" s="136"/>
      <c r="T404" s="136"/>
      <c r="U404" s="136"/>
      <c r="V404" s="136"/>
      <c r="W404" s="136"/>
      <c r="X404" s="136"/>
      <c r="Y404" s="136"/>
      <c r="Z404" s="136"/>
      <c r="AA404" s="136"/>
    </row>
    <row r="405" spans="3:27">
      <c r="C405" s="68"/>
      <c r="D405" s="72"/>
      <c r="E405" s="72"/>
      <c r="F405" s="114" t="s">
        <v>660</v>
      </c>
      <c r="G405" s="114"/>
      <c r="H405" s="114"/>
      <c r="I405" s="114"/>
      <c r="J405" s="114"/>
      <c r="K405" s="164"/>
      <c r="L405" s="239" t="str">
        <f>L200</f>
        <v/>
      </c>
      <c r="M405" s="136"/>
      <c r="N405" s="136"/>
      <c r="O405" s="136"/>
      <c r="P405" s="136"/>
      <c r="Q405" s="136"/>
      <c r="R405" s="136"/>
      <c r="S405" s="136"/>
      <c r="T405" s="136"/>
      <c r="U405" s="136"/>
      <c r="V405" s="136"/>
      <c r="W405" s="136"/>
      <c r="X405" s="136"/>
      <c r="Y405" s="136"/>
      <c r="Z405" s="136"/>
      <c r="AA405" s="136"/>
    </row>
    <row r="406" spans="3:27">
      <c r="C406" s="68"/>
      <c r="D406" s="72"/>
      <c r="E406" s="72"/>
      <c r="F406" s="114" t="s">
        <v>647</v>
      </c>
      <c r="G406" s="114"/>
      <c r="H406" s="114"/>
      <c r="I406" s="114"/>
      <c r="J406" s="114"/>
      <c r="K406" s="164"/>
      <c r="L406" s="228"/>
      <c r="M406" s="136"/>
      <c r="N406" s="136"/>
      <c r="O406" s="136"/>
      <c r="P406" s="136"/>
      <c r="Q406" s="136"/>
      <c r="R406" s="136"/>
      <c r="S406" s="136"/>
      <c r="T406" s="136"/>
      <c r="U406" s="136"/>
      <c r="V406" s="136"/>
      <c r="W406" s="136"/>
      <c r="X406" s="136"/>
      <c r="Y406" s="136"/>
      <c r="Z406" s="136"/>
      <c r="AA406" s="136"/>
    </row>
    <row r="407" spans="3:27">
      <c r="C407" s="68"/>
      <c r="D407" s="72"/>
      <c r="E407" s="72"/>
      <c r="F407" s="114" t="s">
        <v>665</v>
      </c>
      <c r="G407" s="114"/>
      <c r="H407" s="114"/>
      <c r="I407" s="114"/>
      <c r="J407" s="114"/>
      <c r="K407" s="164"/>
      <c r="L407" s="239" t="str">
        <f>IF(L404="","","暗号化済み")</f>
        <v/>
      </c>
      <c r="M407" s="136"/>
      <c r="N407" s="136"/>
      <c r="O407" s="136"/>
      <c r="P407" s="136"/>
      <c r="Q407" s="136"/>
      <c r="R407" s="136"/>
      <c r="S407" s="136"/>
      <c r="T407" s="136"/>
      <c r="U407" s="136"/>
      <c r="V407" s="136"/>
      <c r="W407" s="136"/>
      <c r="X407" s="136"/>
      <c r="Y407" s="136"/>
      <c r="Z407" s="136"/>
      <c r="AA407" s="136"/>
    </row>
    <row r="408" spans="3:27">
      <c r="C408" s="68"/>
      <c r="D408" s="72"/>
      <c r="E408" s="72"/>
      <c r="F408" s="134" t="s">
        <v>648</v>
      </c>
      <c r="G408" s="114"/>
      <c r="H408" s="164"/>
      <c r="I408" s="116" t="s">
        <v>649</v>
      </c>
      <c r="J408" s="122"/>
      <c r="K408" s="182"/>
      <c r="L408" s="178" t="str">
        <f>IF(L404="","",
IF(L231="HostName","Name",
IF(LEFT(L231,1)="※",L231)))</f>
        <v/>
      </c>
      <c r="M408" s="136"/>
      <c r="N408" s="136"/>
      <c r="O408" s="136"/>
      <c r="P408" s="136"/>
      <c r="Q408" s="136"/>
      <c r="R408" s="136"/>
      <c r="S408" s="136"/>
      <c r="T408" s="136"/>
      <c r="U408" s="136"/>
      <c r="V408" s="136"/>
      <c r="W408" s="136"/>
      <c r="X408" s="136"/>
      <c r="Y408" s="136"/>
      <c r="Z408" s="136"/>
      <c r="AA408" s="136"/>
    </row>
    <row r="409" spans="3:27">
      <c r="C409" s="68"/>
      <c r="D409" s="72"/>
      <c r="E409" s="72"/>
      <c r="F409" s="237"/>
      <c r="G409" s="123"/>
      <c r="H409" s="219"/>
      <c r="I409" s="119" t="s">
        <v>135</v>
      </c>
      <c r="J409" s="120"/>
      <c r="K409" s="121"/>
      <c r="L409" s="238" t="str">
        <f>IF(L404="","",
IF(L408="Name",L232&amp;"-"&amp;L404,
IF(LEFT(L232,1)="※",L232)))</f>
        <v/>
      </c>
      <c r="M409" s="136"/>
      <c r="N409" s="136"/>
      <c r="O409" s="136"/>
      <c r="P409" s="136"/>
      <c r="Q409" s="136"/>
      <c r="R409" s="136"/>
      <c r="S409" s="136"/>
      <c r="T409" s="136"/>
      <c r="U409" s="136"/>
      <c r="V409" s="136"/>
      <c r="W409" s="136"/>
      <c r="X409" s="136"/>
      <c r="Y409" s="136"/>
      <c r="Z409" s="136"/>
      <c r="AA409" s="136"/>
    </row>
    <row r="410" spans="3:27">
      <c r="C410" s="68"/>
      <c r="D410" s="72"/>
      <c r="E410" s="72"/>
      <c r="F410" s="134" t="s">
        <v>650</v>
      </c>
      <c r="G410" s="114"/>
      <c r="H410" s="164"/>
      <c r="I410" s="116" t="s">
        <v>649</v>
      </c>
      <c r="J410" s="122"/>
      <c r="K410" s="182"/>
      <c r="L410" s="178" t="str">
        <f>IF(L404="","",
IF(L231="HostName","VolumeName",
IF(LEFT(L231,1)="※",L231)))</f>
        <v/>
      </c>
      <c r="M410" s="136"/>
      <c r="N410" s="136"/>
      <c r="O410" s="136"/>
      <c r="P410" s="136"/>
      <c r="Q410" s="136"/>
      <c r="R410" s="136"/>
      <c r="S410" s="136"/>
      <c r="T410" s="136"/>
      <c r="U410" s="136"/>
      <c r="V410" s="136"/>
      <c r="W410" s="136"/>
      <c r="X410" s="136"/>
      <c r="Y410" s="136"/>
      <c r="Z410" s="136"/>
      <c r="AA410" s="136"/>
    </row>
    <row r="411" spans="3:27">
      <c r="C411" s="68"/>
      <c r="D411" s="72"/>
      <c r="E411" s="72"/>
      <c r="F411" s="237"/>
      <c r="G411" s="123"/>
      <c r="H411" s="219"/>
      <c r="I411" s="119" t="s">
        <v>135</v>
      </c>
      <c r="J411" s="120"/>
      <c r="K411" s="121"/>
      <c r="L411" s="238" t="str">
        <f>IF(L404="","",
IF(L410="VolumeName",L232&amp;"-"&amp;L404,
IF(LEFT(L232,1)="※",L232)))</f>
        <v/>
      </c>
      <c r="M411" s="136"/>
      <c r="N411" s="136"/>
      <c r="O411" s="136"/>
      <c r="P411" s="136"/>
      <c r="Q411" s="136"/>
      <c r="R411" s="136"/>
      <c r="S411" s="136"/>
      <c r="T411" s="136"/>
      <c r="U411" s="136"/>
      <c r="V411" s="136"/>
      <c r="W411" s="136"/>
      <c r="X411" s="136"/>
      <c r="Y411" s="136"/>
      <c r="Z411" s="136"/>
      <c r="AA411" s="136"/>
    </row>
    <row r="412" spans="3:27">
      <c r="C412" s="68"/>
      <c r="D412" s="72"/>
      <c r="E412" s="72"/>
      <c r="F412" s="134" t="s">
        <v>215</v>
      </c>
      <c r="G412" s="114"/>
      <c r="H412" s="164"/>
      <c r="I412" s="116" t="s">
        <v>649</v>
      </c>
      <c r="J412" s="122"/>
      <c r="K412" s="182"/>
      <c r="L412" s="178" t="str">
        <f>IF(L404="","",
IF(L236="System",L236,
IF(LEFT(L236,1)="※",L236)))</f>
        <v/>
      </c>
      <c r="M412" s="136"/>
      <c r="N412" s="136"/>
      <c r="O412" s="136"/>
      <c r="P412" s="136"/>
      <c r="Q412" s="136"/>
      <c r="R412" s="136"/>
      <c r="S412" s="136"/>
      <c r="T412" s="136"/>
      <c r="U412" s="136"/>
      <c r="V412" s="136"/>
      <c r="W412" s="136"/>
      <c r="X412" s="136"/>
      <c r="Y412" s="136"/>
      <c r="Z412" s="136"/>
      <c r="AA412" s="136"/>
    </row>
    <row r="413" spans="3:27">
      <c r="C413" s="68"/>
      <c r="D413" s="72"/>
      <c r="E413" s="72"/>
      <c r="F413" s="237"/>
      <c r="G413" s="123"/>
      <c r="H413" s="219"/>
      <c r="I413" s="119" t="s">
        <v>135</v>
      </c>
      <c r="J413" s="120"/>
      <c r="K413" s="121"/>
      <c r="L413" s="238" t="str">
        <f>IF(L404="","",
IF(L412="System",L237,
IF(LEFT(L237,1)="※",L237)))</f>
        <v/>
      </c>
      <c r="M413" s="136"/>
      <c r="N413" s="136"/>
      <c r="O413" s="136"/>
      <c r="P413" s="136"/>
      <c r="Q413" s="136"/>
      <c r="R413" s="136"/>
      <c r="S413" s="136"/>
      <c r="T413" s="136"/>
      <c r="U413" s="136"/>
      <c r="V413" s="136"/>
      <c r="W413" s="136"/>
      <c r="X413" s="136"/>
      <c r="Y413" s="136"/>
      <c r="Z413" s="136"/>
      <c r="AA413" s="136"/>
    </row>
    <row r="414" spans="3:27">
      <c r="C414" s="68"/>
      <c r="D414" s="72"/>
      <c r="E414" s="72"/>
      <c r="F414" s="134" t="s">
        <v>216</v>
      </c>
      <c r="G414" s="114"/>
      <c r="H414" s="164"/>
      <c r="I414" s="116" t="s">
        <v>649</v>
      </c>
      <c r="J414" s="122"/>
      <c r="K414" s="182"/>
      <c r="L414" s="178" t="str" cm="1">
        <f t="array" aca="1" ref="L414" ca="1">IF(L404="","",
IF(LEN($L$26)&lt;2,"-",
IF($L$27="","※部門コードを入力してください。"&amp;"(セル：L"&amp;CELL("row",$L$27)&amp;")",
IF(AND($L$26&lt;&gt;"",$L$27&lt;&gt;""),"CostAllocation"))))</f>
        <v/>
      </c>
      <c r="M414" s="136"/>
      <c r="N414" s="136"/>
      <c r="O414" s="136"/>
      <c r="P414" s="136"/>
      <c r="Q414" s="136"/>
      <c r="R414" s="136"/>
      <c r="S414" s="136"/>
      <c r="T414" s="136"/>
      <c r="U414" s="136"/>
      <c r="V414" s="136"/>
      <c r="W414" s="136"/>
      <c r="X414" s="136"/>
      <c r="Y414" s="136"/>
      <c r="Z414" s="136"/>
      <c r="AA414" s="136"/>
    </row>
    <row r="415" spans="3:27">
      <c r="C415" s="68"/>
      <c r="D415" s="72"/>
      <c r="E415" s="72"/>
      <c r="F415" s="237"/>
      <c r="G415" s="123"/>
      <c r="H415" s="219"/>
      <c r="I415" s="119" t="s">
        <v>135</v>
      </c>
      <c r="J415" s="120"/>
      <c r="K415" s="121"/>
      <c r="L415" s="246" t="str">
        <f ca="1">IF(L414="CostAllocation",$L$26&amp;"-"&amp;$L$27,L414)</f>
        <v/>
      </c>
      <c r="M415" s="136"/>
      <c r="N415" s="136"/>
      <c r="O415" s="136"/>
      <c r="P415" s="136"/>
      <c r="Q415" s="136"/>
      <c r="R415" s="136"/>
      <c r="S415" s="136"/>
      <c r="T415" s="136"/>
      <c r="U415" s="136"/>
      <c r="V415" s="136"/>
      <c r="W415" s="136"/>
      <c r="X415" s="136"/>
      <c r="Y415" s="136"/>
      <c r="Z415" s="136"/>
      <c r="AA415" s="136"/>
    </row>
    <row r="416" spans="3:27">
      <c r="C416" s="68"/>
      <c r="D416" s="72"/>
      <c r="E416" s="72"/>
      <c r="F416" s="134" t="s">
        <v>622</v>
      </c>
      <c r="G416" s="114"/>
      <c r="H416" s="164"/>
      <c r="I416" s="116" t="s">
        <v>649</v>
      </c>
      <c r="J416" s="122"/>
      <c r="K416" s="182"/>
      <c r="L416" s="178" t="str">
        <f>IF(L73="","",L231)</f>
        <v/>
      </c>
      <c r="M416" s="136"/>
      <c r="N416" s="136"/>
      <c r="O416" s="136"/>
      <c r="P416" s="136"/>
      <c r="Q416" s="136"/>
      <c r="R416" s="136"/>
      <c r="S416" s="136"/>
      <c r="T416" s="136"/>
      <c r="U416" s="136"/>
      <c r="V416" s="136"/>
      <c r="W416" s="136"/>
      <c r="X416" s="136"/>
      <c r="Y416" s="136"/>
      <c r="Z416" s="136"/>
      <c r="AA416" s="136"/>
    </row>
    <row r="417" spans="3:27">
      <c r="C417" s="68"/>
      <c r="D417" s="72"/>
      <c r="E417" s="72"/>
      <c r="F417" s="237"/>
      <c r="G417" s="123"/>
      <c r="H417" s="219"/>
      <c r="I417" s="119" t="s">
        <v>135</v>
      </c>
      <c r="J417" s="120"/>
      <c r="K417" s="121"/>
      <c r="L417" s="246" t="str">
        <f>IF(L73="","",L232)</f>
        <v/>
      </c>
      <c r="M417" s="136"/>
      <c r="N417" s="136"/>
      <c r="O417" s="136"/>
      <c r="P417" s="136"/>
      <c r="Q417" s="136"/>
      <c r="R417" s="136"/>
      <c r="S417" s="136"/>
      <c r="T417" s="136"/>
      <c r="U417" s="136"/>
      <c r="V417" s="136"/>
      <c r="W417" s="136"/>
      <c r="X417" s="136"/>
      <c r="Y417" s="136"/>
      <c r="Z417" s="136"/>
      <c r="AA417" s="136"/>
    </row>
    <row r="418" spans="3:27">
      <c r="C418" s="68"/>
      <c r="D418" s="72"/>
      <c r="E418" s="114" t="s">
        <v>658</v>
      </c>
      <c r="F418" s="114"/>
      <c r="G418" s="114"/>
      <c r="H418" s="114"/>
      <c r="I418" s="114"/>
      <c r="J418" s="114"/>
      <c r="K418" s="114"/>
      <c r="L418" s="175"/>
      <c r="M418" s="136"/>
      <c r="N418" s="136"/>
      <c r="O418" s="136"/>
      <c r="P418" s="136"/>
      <c r="Q418" s="136"/>
      <c r="R418" s="136"/>
      <c r="S418" s="136"/>
      <c r="T418" s="136"/>
      <c r="U418" s="136"/>
      <c r="V418" s="136"/>
      <c r="W418" s="136"/>
      <c r="X418" s="136"/>
      <c r="Y418" s="136"/>
      <c r="Z418" s="136"/>
      <c r="AA418" s="136"/>
    </row>
    <row r="419" spans="3:27">
      <c r="C419" s="68"/>
      <c r="D419" s="72"/>
      <c r="E419" s="72"/>
      <c r="F419" s="114" t="s">
        <v>661</v>
      </c>
      <c r="G419" s="114"/>
      <c r="H419" s="114"/>
      <c r="I419" s="114"/>
      <c r="J419" s="114"/>
      <c r="K419" s="164"/>
      <c r="L419" s="210" t="str">
        <f>L208</f>
        <v/>
      </c>
      <c r="M419" s="136"/>
      <c r="N419" s="136"/>
      <c r="O419" s="136"/>
      <c r="P419" s="136"/>
      <c r="Q419" s="136"/>
      <c r="R419" s="136"/>
      <c r="S419" s="136"/>
      <c r="T419" s="136"/>
      <c r="U419" s="136"/>
      <c r="V419" s="136"/>
      <c r="W419" s="136"/>
      <c r="X419" s="136"/>
      <c r="Y419" s="136"/>
      <c r="Z419" s="136"/>
      <c r="AA419" s="136"/>
    </row>
    <row r="420" spans="3:27">
      <c r="C420" s="68"/>
      <c r="D420" s="72"/>
      <c r="E420" s="72"/>
      <c r="F420" s="114" t="s">
        <v>660</v>
      </c>
      <c r="G420" s="114"/>
      <c r="H420" s="114"/>
      <c r="I420" s="114"/>
      <c r="J420" s="114"/>
      <c r="K420" s="164"/>
      <c r="L420" s="239" t="str">
        <f>L209</f>
        <v/>
      </c>
      <c r="M420" s="136"/>
      <c r="N420" s="136"/>
      <c r="O420" s="136"/>
      <c r="P420" s="136"/>
      <c r="Q420" s="136"/>
      <c r="R420" s="136"/>
      <c r="S420" s="136"/>
      <c r="T420" s="136"/>
      <c r="U420" s="136"/>
      <c r="V420" s="136"/>
      <c r="W420" s="136"/>
      <c r="X420" s="136"/>
      <c r="Y420" s="136"/>
      <c r="Z420" s="136"/>
      <c r="AA420" s="136"/>
    </row>
    <row r="421" spans="3:27">
      <c r="C421" s="68"/>
      <c r="D421" s="72"/>
      <c r="E421" s="72"/>
      <c r="F421" s="114" t="s">
        <v>647</v>
      </c>
      <c r="G421" s="114"/>
      <c r="H421" s="114"/>
      <c r="I421" s="114"/>
      <c r="J421" s="114"/>
      <c r="K421" s="164"/>
      <c r="L421" s="228"/>
      <c r="M421" s="136"/>
      <c r="N421" s="136"/>
      <c r="O421" s="136"/>
      <c r="P421" s="136"/>
      <c r="Q421" s="136"/>
      <c r="R421" s="136"/>
      <c r="S421" s="136"/>
      <c r="T421" s="136"/>
      <c r="U421" s="136"/>
      <c r="V421" s="136"/>
      <c r="W421" s="136"/>
      <c r="X421" s="136"/>
      <c r="Y421" s="136"/>
      <c r="Z421" s="136"/>
      <c r="AA421" s="136"/>
    </row>
    <row r="422" spans="3:27">
      <c r="C422" s="68"/>
      <c r="D422" s="72"/>
      <c r="E422" s="72"/>
      <c r="F422" s="114" t="s">
        <v>665</v>
      </c>
      <c r="G422" s="114"/>
      <c r="H422" s="114"/>
      <c r="I422" s="114"/>
      <c r="J422" s="114"/>
      <c r="K422" s="164"/>
      <c r="L422" s="239" t="str">
        <f>IF(L419="","","暗号化済み")</f>
        <v/>
      </c>
      <c r="M422" s="136"/>
      <c r="N422" s="136"/>
      <c r="O422" s="136"/>
      <c r="P422" s="136"/>
      <c r="Q422" s="136"/>
      <c r="R422" s="136"/>
      <c r="S422" s="136"/>
      <c r="T422" s="136"/>
      <c r="U422" s="136"/>
      <c r="V422" s="136"/>
      <c r="W422" s="136"/>
      <c r="X422" s="136"/>
      <c r="Y422" s="136"/>
      <c r="Z422" s="136"/>
      <c r="AA422" s="136"/>
    </row>
    <row r="423" spans="3:27">
      <c r="C423" s="68"/>
      <c r="D423" s="72"/>
      <c r="E423" s="72"/>
      <c r="F423" s="134" t="s">
        <v>648</v>
      </c>
      <c r="G423" s="114"/>
      <c r="H423" s="164"/>
      <c r="I423" s="116" t="s">
        <v>649</v>
      </c>
      <c r="J423" s="122"/>
      <c r="K423" s="182"/>
      <c r="L423" s="178" t="str">
        <f>IF(L419="","",
IF(L231="HostName","Name",
IF(LEFT(L231,1)="※",L231)))</f>
        <v/>
      </c>
      <c r="M423" s="136"/>
      <c r="N423" s="136"/>
      <c r="O423" s="136"/>
      <c r="P423" s="136"/>
      <c r="Q423" s="136"/>
      <c r="R423" s="136"/>
      <c r="S423" s="136"/>
      <c r="T423" s="136"/>
      <c r="U423" s="136"/>
      <c r="V423" s="136"/>
      <c r="W423" s="136"/>
      <c r="X423" s="136"/>
      <c r="Y423" s="136"/>
      <c r="Z423" s="136"/>
      <c r="AA423" s="136"/>
    </row>
    <row r="424" spans="3:27">
      <c r="C424" s="68"/>
      <c r="D424" s="72"/>
      <c r="E424" s="72"/>
      <c r="F424" s="237"/>
      <c r="G424" s="123"/>
      <c r="H424" s="219"/>
      <c r="I424" s="119" t="s">
        <v>135</v>
      </c>
      <c r="J424" s="120"/>
      <c r="K424" s="121"/>
      <c r="L424" s="238" t="str">
        <f>IF(L419="","",
IF(L423="Name",L232&amp;"-"&amp;L419,
IF(LEFT(L232,1)="※",L232)))</f>
        <v/>
      </c>
      <c r="M424" s="136"/>
      <c r="N424" s="136"/>
      <c r="O424" s="136"/>
      <c r="P424" s="136"/>
      <c r="Q424" s="136"/>
      <c r="R424" s="136"/>
      <c r="S424" s="136"/>
      <c r="T424" s="136"/>
      <c r="U424" s="136"/>
      <c r="V424" s="136"/>
      <c r="W424" s="136"/>
      <c r="X424" s="136"/>
      <c r="Y424" s="136"/>
      <c r="Z424" s="136"/>
      <c r="AA424" s="136"/>
    </row>
    <row r="425" spans="3:27">
      <c r="C425" s="68"/>
      <c r="D425" s="72"/>
      <c r="E425" s="72"/>
      <c r="F425" s="134" t="s">
        <v>650</v>
      </c>
      <c r="G425" s="114"/>
      <c r="H425" s="164"/>
      <c r="I425" s="116" t="s">
        <v>649</v>
      </c>
      <c r="J425" s="122"/>
      <c r="K425" s="182"/>
      <c r="L425" s="178" t="str">
        <f>IF(L419="","",
IF(L231="HostName","VolumeName",
IF(LEFT(L231,1)="※",L231)))</f>
        <v/>
      </c>
      <c r="M425" s="136"/>
      <c r="N425" s="136"/>
      <c r="O425" s="136"/>
      <c r="P425" s="136"/>
      <c r="Q425" s="136"/>
      <c r="R425" s="136"/>
      <c r="S425" s="136"/>
      <c r="T425" s="136"/>
      <c r="U425" s="136"/>
      <c r="V425" s="136"/>
      <c r="W425" s="136"/>
      <c r="X425" s="136"/>
      <c r="Y425" s="136"/>
      <c r="Z425" s="136"/>
      <c r="AA425" s="136"/>
    </row>
    <row r="426" spans="3:27">
      <c r="C426" s="68"/>
      <c r="D426" s="72"/>
      <c r="E426" s="72"/>
      <c r="F426" s="237"/>
      <c r="G426" s="123"/>
      <c r="H426" s="219"/>
      <c r="I426" s="119" t="s">
        <v>135</v>
      </c>
      <c r="J426" s="120"/>
      <c r="K426" s="121"/>
      <c r="L426" s="238" t="str">
        <f>IF(L419="","",
IF(L425="VolumeName",L232&amp;"-"&amp;L419,
IF(LEFT(L232,1)="※",L232)))</f>
        <v/>
      </c>
      <c r="M426" s="136"/>
      <c r="N426" s="136"/>
      <c r="O426" s="136"/>
      <c r="P426" s="136"/>
      <c r="Q426" s="136"/>
      <c r="R426" s="136"/>
      <c r="S426" s="136"/>
      <c r="T426" s="136"/>
      <c r="U426" s="136"/>
      <c r="V426" s="136"/>
      <c r="W426" s="136"/>
      <c r="X426" s="136"/>
      <c r="Y426" s="136"/>
      <c r="Z426" s="136"/>
      <c r="AA426" s="136"/>
    </row>
    <row r="427" spans="3:27">
      <c r="C427" s="68"/>
      <c r="D427" s="72"/>
      <c r="E427" s="72"/>
      <c r="F427" s="134" t="s">
        <v>215</v>
      </c>
      <c r="G427" s="114"/>
      <c r="H427" s="164"/>
      <c r="I427" s="116" t="s">
        <v>649</v>
      </c>
      <c r="J427" s="122"/>
      <c r="K427" s="182"/>
      <c r="L427" s="178" t="str">
        <f>IF(L419="","",
IF(L236="System",L236,
IF(LEFT(L236,1)="※",L236)))</f>
        <v/>
      </c>
      <c r="M427" s="136"/>
      <c r="N427" s="136"/>
      <c r="O427" s="136"/>
      <c r="P427" s="136"/>
      <c r="Q427" s="136"/>
      <c r="R427" s="136"/>
      <c r="S427" s="136"/>
      <c r="T427" s="136"/>
      <c r="U427" s="136"/>
      <c r="V427" s="136"/>
      <c r="W427" s="136"/>
      <c r="X427" s="136"/>
      <c r="Y427" s="136"/>
      <c r="Z427" s="136"/>
      <c r="AA427" s="136"/>
    </row>
    <row r="428" spans="3:27">
      <c r="C428" s="68"/>
      <c r="D428" s="72"/>
      <c r="E428" s="72"/>
      <c r="F428" s="237"/>
      <c r="G428" s="123"/>
      <c r="H428" s="219"/>
      <c r="I428" s="119" t="s">
        <v>135</v>
      </c>
      <c r="J428" s="120"/>
      <c r="K428" s="121"/>
      <c r="L428" s="238" t="str">
        <f>IF(L419="","",
IF(L427="System",L237,
IF(LEFT(L237,1)="※",L237)))</f>
        <v/>
      </c>
      <c r="M428" s="136"/>
      <c r="N428" s="136"/>
      <c r="O428" s="136"/>
      <c r="P428" s="136"/>
      <c r="Q428" s="136"/>
      <c r="R428" s="136"/>
      <c r="S428" s="136"/>
      <c r="T428" s="136"/>
      <c r="U428" s="136"/>
      <c r="V428" s="136"/>
      <c r="W428" s="136"/>
      <c r="X428" s="136"/>
      <c r="Y428" s="136"/>
      <c r="Z428" s="136"/>
      <c r="AA428" s="136"/>
    </row>
    <row r="429" spans="3:27">
      <c r="C429" s="68"/>
      <c r="D429" s="72"/>
      <c r="E429" s="72"/>
      <c r="F429" s="134" t="s">
        <v>216</v>
      </c>
      <c r="G429" s="114"/>
      <c r="H429" s="164"/>
      <c r="I429" s="116" t="s">
        <v>649</v>
      </c>
      <c r="J429" s="122"/>
      <c r="K429" s="182"/>
      <c r="L429" s="178" t="str" cm="1">
        <f t="array" aca="1" ref="L429" ca="1">IF(L419="","",
IF(LEN($L$26)&lt;2,"-",
IF($L$27="","※部門コードを入力してください。"&amp;"(セル：L"&amp;CELL("row",$L$27)&amp;")",
IF(AND($L$26&lt;&gt;"",$L$27&lt;&gt;""),"CostAllocation"))))</f>
        <v/>
      </c>
      <c r="M429" s="136"/>
      <c r="N429" s="136"/>
      <c r="O429" s="136"/>
      <c r="P429" s="136"/>
      <c r="Q429" s="136"/>
      <c r="R429" s="136"/>
      <c r="S429" s="136"/>
      <c r="T429" s="136"/>
      <c r="U429" s="136"/>
      <c r="V429" s="136"/>
      <c r="W429" s="136"/>
      <c r="X429" s="136"/>
      <c r="Y429" s="136"/>
      <c r="Z429" s="136"/>
      <c r="AA429" s="136"/>
    </row>
    <row r="430" spans="3:27">
      <c r="C430" s="68"/>
      <c r="D430" s="72"/>
      <c r="E430" s="72"/>
      <c r="F430" s="237"/>
      <c r="G430" s="123"/>
      <c r="H430" s="219"/>
      <c r="I430" s="119" t="s">
        <v>135</v>
      </c>
      <c r="J430" s="120"/>
      <c r="K430" s="121"/>
      <c r="L430" s="246" t="str">
        <f ca="1">IF(L429="CostAllocation",$L$26&amp;"-"&amp;$L$27,L429)</f>
        <v/>
      </c>
      <c r="M430" s="136"/>
      <c r="N430" s="136"/>
      <c r="O430" s="136"/>
      <c r="P430" s="136"/>
      <c r="Q430" s="136"/>
      <c r="R430" s="136"/>
      <c r="S430" s="136"/>
      <c r="T430" s="136"/>
      <c r="U430" s="136"/>
      <c r="V430" s="136"/>
      <c r="W430" s="136"/>
      <c r="X430" s="136"/>
      <c r="Y430" s="136"/>
      <c r="Z430" s="136"/>
      <c r="AA430" s="136"/>
    </row>
    <row r="431" spans="3:27">
      <c r="C431" s="68"/>
      <c r="D431" s="72"/>
      <c r="E431" s="72"/>
      <c r="F431" s="134" t="s">
        <v>622</v>
      </c>
      <c r="G431" s="114"/>
      <c r="H431" s="164"/>
      <c r="I431" s="116" t="s">
        <v>649</v>
      </c>
      <c r="J431" s="122"/>
      <c r="K431" s="182"/>
      <c r="L431" s="178" t="str">
        <f>IF(L79="","",L231)</f>
        <v/>
      </c>
      <c r="M431" s="136"/>
      <c r="N431" s="136"/>
      <c r="O431" s="136"/>
      <c r="P431" s="136"/>
      <c r="Q431" s="136"/>
      <c r="R431" s="136"/>
      <c r="S431" s="136"/>
      <c r="T431" s="136"/>
      <c r="U431" s="136"/>
      <c r="V431" s="136"/>
      <c r="W431" s="136"/>
      <c r="X431" s="136"/>
      <c r="Y431" s="136"/>
      <c r="Z431" s="136"/>
      <c r="AA431" s="136"/>
    </row>
    <row r="432" spans="3:27">
      <c r="C432" s="68"/>
      <c r="D432" s="72"/>
      <c r="E432" s="72"/>
      <c r="F432" s="237"/>
      <c r="G432" s="123"/>
      <c r="H432" s="219"/>
      <c r="I432" s="119" t="s">
        <v>135</v>
      </c>
      <c r="J432" s="120"/>
      <c r="K432" s="121"/>
      <c r="L432" s="246" t="str">
        <f>IF(L79="","",L232)</f>
        <v/>
      </c>
      <c r="M432" s="136"/>
      <c r="N432" s="136"/>
      <c r="O432" s="136"/>
      <c r="P432" s="136"/>
      <c r="Q432" s="136"/>
      <c r="R432" s="136"/>
      <c r="S432" s="136"/>
      <c r="T432" s="136"/>
      <c r="U432" s="136"/>
      <c r="V432" s="136"/>
      <c r="W432" s="136"/>
      <c r="X432" s="136"/>
      <c r="Y432" s="136"/>
      <c r="Z432" s="136"/>
      <c r="AA432" s="136"/>
    </row>
    <row r="433" spans="3:27">
      <c r="C433" s="68"/>
      <c r="D433" s="72"/>
      <c r="E433" s="114" t="s">
        <v>659</v>
      </c>
      <c r="F433" s="114"/>
      <c r="G433" s="114"/>
      <c r="H433" s="114"/>
      <c r="I433" s="114"/>
      <c r="J433" s="114"/>
      <c r="K433" s="114"/>
      <c r="L433" s="175"/>
      <c r="M433" s="136"/>
      <c r="N433" s="136"/>
      <c r="O433" s="136"/>
      <c r="P433" s="136"/>
      <c r="Q433" s="136"/>
      <c r="R433" s="136"/>
      <c r="S433" s="136"/>
      <c r="T433" s="136"/>
      <c r="U433" s="136"/>
      <c r="V433" s="136"/>
      <c r="W433" s="136"/>
      <c r="X433" s="136"/>
      <c r="Y433" s="136"/>
      <c r="Z433" s="136"/>
      <c r="AA433" s="136"/>
    </row>
    <row r="434" spans="3:27">
      <c r="C434" s="68"/>
      <c r="D434" s="72"/>
      <c r="E434" s="72"/>
      <c r="F434" s="114" t="s">
        <v>661</v>
      </c>
      <c r="G434" s="114"/>
      <c r="H434" s="114"/>
      <c r="I434" s="114"/>
      <c r="J434" s="114"/>
      <c r="K434" s="164"/>
      <c r="L434" s="210" t="str">
        <f>L217</f>
        <v/>
      </c>
      <c r="M434" s="136"/>
      <c r="N434" s="136"/>
      <c r="O434" s="136"/>
      <c r="P434" s="136"/>
      <c r="Q434" s="136"/>
      <c r="R434" s="136"/>
      <c r="S434" s="136"/>
      <c r="T434" s="136"/>
      <c r="U434" s="136"/>
      <c r="V434" s="136"/>
      <c r="W434" s="136"/>
      <c r="X434" s="136"/>
      <c r="Y434" s="136"/>
      <c r="Z434" s="136"/>
      <c r="AA434" s="136"/>
    </row>
    <row r="435" spans="3:27">
      <c r="C435" s="68"/>
      <c r="D435" s="72"/>
      <c r="E435" s="72"/>
      <c r="F435" s="114" t="s">
        <v>660</v>
      </c>
      <c r="G435" s="114"/>
      <c r="H435" s="114"/>
      <c r="I435" s="114"/>
      <c r="J435" s="114"/>
      <c r="K435" s="164"/>
      <c r="L435" s="239" t="str">
        <f>L218</f>
        <v/>
      </c>
      <c r="M435" s="136"/>
      <c r="N435" s="136"/>
      <c r="O435" s="136"/>
      <c r="P435" s="136"/>
      <c r="Q435" s="136"/>
      <c r="R435" s="136"/>
      <c r="S435" s="136"/>
      <c r="T435" s="136"/>
      <c r="U435" s="136"/>
      <c r="V435" s="136"/>
      <c r="W435" s="136"/>
      <c r="X435" s="136"/>
      <c r="Y435" s="136"/>
      <c r="Z435" s="136"/>
      <c r="AA435" s="136"/>
    </row>
    <row r="436" spans="3:27">
      <c r="C436" s="68"/>
      <c r="D436" s="72"/>
      <c r="E436" s="72"/>
      <c r="F436" s="114" t="s">
        <v>647</v>
      </c>
      <c r="G436" s="114"/>
      <c r="H436" s="114"/>
      <c r="I436" s="114"/>
      <c r="J436" s="114"/>
      <c r="K436" s="164"/>
      <c r="L436" s="228"/>
      <c r="M436" s="136"/>
      <c r="N436" s="136"/>
      <c r="O436" s="136"/>
      <c r="P436" s="136"/>
      <c r="Q436" s="136"/>
      <c r="R436" s="136"/>
      <c r="S436" s="136"/>
      <c r="T436" s="136"/>
      <c r="U436" s="136"/>
      <c r="V436" s="136"/>
      <c r="W436" s="136"/>
      <c r="X436" s="136"/>
      <c r="Y436" s="136"/>
      <c r="Z436" s="136"/>
      <c r="AA436" s="136"/>
    </row>
    <row r="437" spans="3:27">
      <c r="C437" s="68"/>
      <c r="D437" s="72"/>
      <c r="E437" s="72"/>
      <c r="F437" s="114" t="s">
        <v>665</v>
      </c>
      <c r="G437" s="114"/>
      <c r="H437" s="114"/>
      <c r="I437" s="114"/>
      <c r="J437" s="114"/>
      <c r="K437" s="164"/>
      <c r="L437" s="239" t="str">
        <f>IF(L434="","","暗号化済み")</f>
        <v/>
      </c>
      <c r="M437" s="136"/>
      <c r="N437" s="136"/>
      <c r="O437" s="136"/>
      <c r="P437" s="136"/>
      <c r="Q437" s="136"/>
      <c r="R437" s="136"/>
      <c r="S437" s="136"/>
      <c r="T437" s="136"/>
      <c r="U437" s="136"/>
      <c r="V437" s="136"/>
      <c r="W437" s="136"/>
      <c r="X437" s="136"/>
      <c r="Y437" s="136"/>
      <c r="Z437" s="136"/>
      <c r="AA437" s="136"/>
    </row>
    <row r="438" spans="3:27">
      <c r="C438" s="68"/>
      <c r="D438" s="72"/>
      <c r="E438" s="72"/>
      <c r="F438" s="134" t="s">
        <v>648</v>
      </c>
      <c r="G438" s="114"/>
      <c r="H438" s="164"/>
      <c r="I438" s="116" t="s">
        <v>649</v>
      </c>
      <c r="J438" s="122"/>
      <c r="K438" s="182"/>
      <c r="L438" s="178" t="str">
        <f>IF(L434="","",
IF(L231="HostName","Name",
IF(LEFT(L231,1)="※",L231)))</f>
        <v/>
      </c>
      <c r="M438" s="136"/>
      <c r="N438" s="136"/>
      <c r="O438" s="136"/>
      <c r="P438" s="136"/>
      <c r="Q438" s="136"/>
      <c r="R438" s="136"/>
      <c r="S438" s="136"/>
      <c r="T438" s="136"/>
      <c r="U438" s="136"/>
      <c r="V438" s="136"/>
      <c r="W438" s="136"/>
      <c r="X438" s="136"/>
      <c r="Y438" s="136"/>
      <c r="Z438" s="136"/>
      <c r="AA438" s="136"/>
    </row>
    <row r="439" spans="3:27">
      <c r="C439" s="68"/>
      <c r="D439" s="72"/>
      <c r="E439" s="72"/>
      <c r="F439" s="237"/>
      <c r="G439" s="123"/>
      <c r="H439" s="219"/>
      <c r="I439" s="119" t="s">
        <v>135</v>
      </c>
      <c r="J439" s="120"/>
      <c r="K439" s="121"/>
      <c r="L439" s="238" t="str">
        <f>IF(L434="","",
IF(L438="Name",L232&amp;"-"&amp;L434,
IF(LEFT(L232,1)="※",L232)))</f>
        <v/>
      </c>
      <c r="M439" s="136"/>
      <c r="N439" s="136"/>
      <c r="O439" s="136"/>
      <c r="P439" s="136"/>
      <c r="Q439" s="136"/>
      <c r="R439" s="136"/>
      <c r="S439" s="136"/>
      <c r="T439" s="136"/>
      <c r="U439" s="136"/>
      <c r="V439" s="136"/>
      <c r="W439" s="136"/>
      <c r="X439" s="136"/>
      <c r="Y439" s="136"/>
      <c r="Z439" s="136"/>
      <c r="AA439" s="136"/>
    </row>
    <row r="440" spans="3:27">
      <c r="C440" s="68"/>
      <c r="D440" s="72"/>
      <c r="E440" s="72"/>
      <c r="F440" s="134" t="s">
        <v>650</v>
      </c>
      <c r="G440" s="114"/>
      <c r="H440" s="164"/>
      <c r="I440" s="116" t="s">
        <v>649</v>
      </c>
      <c r="J440" s="122"/>
      <c r="K440" s="182"/>
      <c r="L440" s="178" t="str">
        <f>IF(L434="","",
IF(L231="HostName","VolumeName",
IF(LEFT(L231,1)="※",L231)))</f>
        <v/>
      </c>
      <c r="M440" s="136"/>
      <c r="N440" s="136"/>
      <c r="O440" s="136"/>
      <c r="P440" s="136"/>
      <c r="Q440" s="136"/>
      <c r="R440" s="136"/>
      <c r="S440" s="136"/>
      <c r="T440" s="136"/>
      <c r="U440" s="136"/>
      <c r="V440" s="136"/>
      <c r="W440" s="136"/>
      <c r="X440" s="136"/>
      <c r="Y440" s="136"/>
      <c r="Z440" s="136"/>
      <c r="AA440" s="136"/>
    </row>
    <row r="441" spans="3:27">
      <c r="C441" s="68"/>
      <c r="D441" s="72"/>
      <c r="E441" s="72"/>
      <c r="F441" s="237"/>
      <c r="G441" s="123"/>
      <c r="H441" s="219"/>
      <c r="I441" s="119" t="s">
        <v>135</v>
      </c>
      <c r="J441" s="120"/>
      <c r="K441" s="121"/>
      <c r="L441" s="238" t="str">
        <f>IF(L434="","",
IF(L440="VolumeName",L232&amp;"-"&amp;L434,
IF(LEFT(L232,1)="※",L232)))</f>
        <v/>
      </c>
      <c r="M441" s="136"/>
      <c r="N441" s="136"/>
      <c r="O441" s="136"/>
      <c r="P441" s="136"/>
      <c r="Q441" s="136"/>
      <c r="R441" s="136"/>
      <c r="S441" s="136"/>
      <c r="T441" s="136"/>
      <c r="U441" s="136"/>
      <c r="V441" s="136"/>
      <c r="W441" s="136"/>
      <c r="X441" s="136"/>
      <c r="Y441" s="136"/>
      <c r="Z441" s="136"/>
      <c r="AA441" s="136"/>
    </row>
    <row r="442" spans="3:27">
      <c r="C442" s="68"/>
      <c r="D442" s="72"/>
      <c r="E442" s="72"/>
      <c r="F442" s="134" t="s">
        <v>215</v>
      </c>
      <c r="G442" s="114"/>
      <c r="H442" s="164"/>
      <c r="I442" s="116" t="s">
        <v>649</v>
      </c>
      <c r="J442" s="122"/>
      <c r="K442" s="182"/>
      <c r="L442" s="178" t="str">
        <f>IF(L434="","",
IF(L236="System",L236,
IF(LEFT(L236,1)="※",L236)))</f>
        <v/>
      </c>
      <c r="M442" s="136"/>
      <c r="N442" s="136"/>
      <c r="O442" s="136"/>
      <c r="P442" s="136"/>
      <c r="Q442" s="136"/>
      <c r="R442" s="136"/>
      <c r="S442" s="136"/>
      <c r="T442" s="136"/>
      <c r="U442" s="136"/>
      <c r="V442" s="136"/>
      <c r="W442" s="136"/>
      <c r="X442" s="136"/>
      <c r="Y442" s="136"/>
      <c r="Z442" s="136"/>
      <c r="AA442" s="136"/>
    </row>
    <row r="443" spans="3:27">
      <c r="C443" s="68"/>
      <c r="D443" s="72"/>
      <c r="E443" s="72"/>
      <c r="F443" s="237"/>
      <c r="G443" s="123"/>
      <c r="H443" s="219"/>
      <c r="I443" s="119" t="s">
        <v>135</v>
      </c>
      <c r="J443" s="120"/>
      <c r="K443" s="121"/>
      <c r="L443" s="238" t="str">
        <f>IF(L434="","",
IF(L442="System",L237,
IF(LEFT(L237,1)="※",L237)))</f>
        <v/>
      </c>
      <c r="M443" s="136"/>
      <c r="N443" s="136"/>
      <c r="O443" s="136"/>
      <c r="P443" s="136"/>
      <c r="Q443" s="136"/>
      <c r="R443" s="136"/>
      <c r="S443" s="136"/>
      <c r="T443" s="136"/>
      <c r="U443" s="136"/>
      <c r="V443" s="136"/>
      <c r="W443" s="136"/>
      <c r="X443" s="136"/>
      <c r="Y443" s="136"/>
      <c r="Z443" s="136"/>
      <c r="AA443" s="136"/>
    </row>
    <row r="444" spans="3:27">
      <c r="C444" s="68"/>
      <c r="D444" s="72"/>
      <c r="E444" s="72"/>
      <c r="F444" s="134" t="s">
        <v>216</v>
      </c>
      <c r="G444" s="114"/>
      <c r="H444" s="164"/>
      <c r="I444" s="116" t="s">
        <v>866</v>
      </c>
      <c r="J444" s="122"/>
      <c r="K444" s="182"/>
      <c r="L444" s="178" t="str" cm="1">
        <f t="array" aca="1" ref="L444" ca="1">IF(L434="","",
IF(LEN($L$26)&lt;2,"-",
IF($L$27="","※部門コードを入力してください。"&amp;"(セル：L"&amp;CELL("row",$L$27)&amp;")",
IF(AND($L$26&lt;&gt;"",$L$27&lt;&gt;""),"CostAllocation"))))</f>
        <v/>
      </c>
      <c r="M444" s="136"/>
      <c r="N444" s="136"/>
      <c r="O444" s="136"/>
      <c r="P444" s="136"/>
      <c r="Q444" s="136"/>
      <c r="R444" s="136"/>
      <c r="S444" s="136"/>
      <c r="T444" s="136"/>
      <c r="U444" s="136"/>
      <c r="V444" s="136"/>
      <c r="W444" s="136"/>
      <c r="X444" s="136"/>
      <c r="Y444" s="136"/>
      <c r="Z444" s="136"/>
      <c r="AA444" s="136"/>
    </row>
    <row r="445" spans="3:27">
      <c r="C445" s="68"/>
      <c r="D445" s="72"/>
      <c r="E445" s="72"/>
      <c r="F445" s="237"/>
      <c r="G445" s="123"/>
      <c r="H445" s="219"/>
      <c r="I445" s="119" t="s">
        <v>135</v>
      </c>
      <c r="J445" s="120"/>
      <c r="K445" s="121"/>
      <c r="L445" s="246" t="str">
        <f ca="1">IF(L444="CostAllocation",$L$26&amp;"-"&amp;$L$27,L444)</f>
        <v/>
      </c>
      <c r="M445" s="136"/>
      <c r="N445" s="136"/>
      <c r="O445" s="136"/>
      <c r="P445" s="136"/>
      <c r="Q445" s="136"/>
      <c r="R445" s="136"/>
      <c r="S445" s="136"/>
      <c r="T445" s="136"/>
      <c r="U445" s="136"/>
      <c r="V445" s="136"/>
      <c r="W445" s="136"/>
      <c r="X445" s="136"/>
      <c r="Y445" s="136"/>
      <c r="Z445" s="136"/>
      <c r="AA445" s="136"/>
    </row>
    <row r="446" spans="3:27">
      <c r="C446" s="68"/>
      <c r="D446" s="72"/>
      <c r="E446" s="72"/>
      <c r="F446" s="134" t="s">
        <v>622</v>
      </c>
      <c r="G446" s="114"/>
      <c r="H446" s="164"/>
      <c r="I446" s="116" t="s">
        <v>134</v>
      </c>
      <c r="J446" s="122"/>
      <c r="K446" s="182"/>
      <c r="L446" s="178" t="str">
        <f>IF(L85="","",L231)</f>
        <v/>
      </c>
      <c r="M446" s="136"/>
      <c r="N446" s="136"/>
      <c r="O446" s="136"/>
      <c r="P446" s="136"/>
      <c r="Q446" s="136"/>
      <c r="R446" s="136"/>
      <c r="S446" s="136"/>
      <c r="T446" s="136"/>
      <c r="U446" s="136"/>
      <c r="V446" s="136"/>
      <c r="W446" s="136"/>
      <c r="X446" s="136"/>
      <c r="Y446" s="136"/>
      <c r="Z446" s="136"/>
      <c r="AA446" s="136"/>
    </row>
    <row r="447" spans="3:27">
      <c r="C447" s="68"/>
      <c r="D447" s="72"/>
      <c r="E447" s="72"/>
      <c r="F447" s="237"/>
      <c r="G447" s="123"/>
      <c r="H447" s="219"/>
      <c r="I447" s="119" t="s">
        <v>135</v>
      </c>
      <c r="J447" s="120"/>
      <c r="K447" s="121"/>
      <c r="L447" s="246" t="str">
        <f>IF(L85="","",L232)</f>
        <v/>
      </c>
      <c r="M447" s="136"/>
      <c r="N447" s="136"/>
      <c r="O447" s="136"/>
      <c r="P447" s="136"/>
      <c r="Q447" s="136"/>
      <c r="R447" s="136"/>
      <c r="S447" s="136"/>
      <c r="T447" s="136"/>
      <c r="U447" s="136"/>
      <c r="V447" s="136"/>
      <c r="W447" s="136"/>
      <c r="X447" s="136"/>
      <c r="Y447" s="136"/>
      <c r="Z447" s="136"/>
      <c r="AA447" s="136"/>
    </row>
    <row r="448" spans="3:27">
      <c r="C448" s="67" t="s">
        <v>136</v>
      </c>
      <c r="D448" s="114"/>
      <c r="E448" s="114"/>
      <c r="F448" s="114"/>
      <c r="G448" s="114"/>
      <c r="H448" s="114"/>
      <c r="I448" s="114"/>
      <c r="J448" s="114"/>
      <c r="K448" s="114"/>
      <c r="L448" s="175"/>
      <c r="M448" s="136"/>
      <c r="N448" s="136"/>
      <c r="O448" s="136"/>
      <c r="P448" s="136"/>
      <c r="Q448" s="136"/>
      <c r="R448" s="136"/>
      <c r="S448" s="136"/>
      <c r="T448" s="136"/>
      <c r="U448" s="136"/>
      <c r="V448" s="136"/>
      <c r="W448" s="136"/>
      <c r="X448" s="136"/>
      <c r="Y448" s="136"/>
      <c r="Z448" s="136"/>
      <c r="AA448" s="136"/>
    </row>
    <row r="449" spans="3:27">
      <c r="C449" s="72"/>
      <c r="D449" s="65" t="s">
        <v>98</v>
      </c>
      <c r="E449" s="58"/>
      <c r="F449" s="58"/>
      <c r="G449" s="58"/>
      <c r="H449" s="58"/>
      <c r="I449" s="58"/>
      <c r="J449" s="58"/>
      <c r="K449" s="58"/>
      <c r="L449" s="227">
        <f>L28</f>
        <v>0</v>
      </c>
      <c r="M449" s="136"/>
      <c r="N449" s="136"/>
      <c r="O449" s="136"/>
      <c r="P449" s="136"/>
      <c r="Q449" s="136"/>
      <c r="R449" s="136"/>
      <c r="S449" s="136"/>
      <c r="T449" s="136"/>
      <c r="U449" s="136"/>
      <c r="V449" s="136"/>
      <c r="W449" s="136"/>
      <c r="X449" s="136"/>
      <c r="Y449" s="136"/>
      <c r="Z449" s="136"/>
      <c r="AA449" s="136"/>
    </row>
    <row r="450" spans="3:27">
      <c r="C450" s="72"/>
      <c r="D450" s="67" t="s">
        <v>55</v>
      </c>
      <c r="E450" s="114"/>
      <c r="F450" s="114"/>
      <c r="G450" s="114"/>
      <c r="H450" s="114"/>
      <c r="I450" s="114"/>
      <c r="J450" s="114"/>
      <c r="K450" s="114"/>
      <c r="L450" s="223"/>
      <c r="M450" s="136"/>
      <c r="N450" s="136"/>
      <c r="O450" s="136"/>
      <c r="P450" s="136"/>
      <c r="Q450" s="136"/>
      <c r="R450" s="136"/>
      <c r="S450" s="136"/>
      <c r="T450" s="136"/>
      <c r="U450" s="136"/>
      <c r="V450" s="136"/>
      <c r="W450" s="136"/>
      <c r="X450" s="136"/>
      <c r="Y450" s="136"/>
      <c r="Z450" s="136"/>
      <c r="AA450" s="136"/>
    </row>
    <row r="451" spans="3:27">
      <c r="C451" s="72"/>
      <c r="D451" s="72"/>
      <c r="E451" s="65" t="s">
        <v>59</v>
      </c>
      <c r="F451" s="58"/>
      <c r="G451" s="58"/>
      <c r="H451" s="58"/>
      <c r="I451" s="58"/>
      <c r="J451" s="58"/>
      <c r="K451" s="60"/>
      <c r="L451" s="205" t="str">
        <f ca="1">L280</f>
        <v>※システム種類を入力してください。(セル：L19)</v>
      </c>
      <c r="M451" s="136"/>
      <c r="N451" s="136"/>
      <c r="O451" s="136"/>
      <c r="P451" s="136"/>
      <c r="Q451" s="136"/>
      <c r="R451" s="136"/>
      <c r="S451" s="136"/>
      <c r="T451" s="136"/>
      <c r="U451" s="136"/>
      <c r="V451" s="136"/>
      <c r="W451" s="136"/>
      <c r="X451" s="136"/>
      <c r="Y451" s="136"/>
      <c r="Z451" s="136"/>
      <c r="AA451" s="136"/>
    </row>
    <row r="452" spans="3:27">
      <c r="C452" s="72"/>
      <c r="D452" s="72"/>
      <c r="E452" s="114" t="s">
        <v>710</v>
      </c>
      <c r="F452" s="114"/>
      <c r="G452" s="114"/>
      <c r="H452" s="114"/>
      <c r="I452" s="114"/>
      <c r="J452" s="114"/>
      <c r="K452" s="114"/>
      <c r="L452" s="223"/>
      <c r="M452" s="136"/>
      <c r="N452" s="136"/>
      <c r="O452" s="136"/>
      <c r="P452" s="136"/>
      <c r="Q452" s="136"/>
      <c r="R452" s="136"/>
      <c r="S452" s="136"/>
      <c r="T452" s="136"/>
      <c r="U452" s="136"/>
      <c r="V452" s="136"/>
      <c r="W452" s="136"/>
      <c r="X452" s="136"/>
      <c r="Y452" s="136"/>
      <c r="Z452" s="136"/>
      <c r="AA452" s="136"/>
    </row>
    <row r="453" spans="3:27">
      <c r="C453" s="72"/>
      <c r="D453" s="72"/>
      <c r="E453" s="250"/>
      <c r="F453" s="134" t="s">
        <v>648</v>
      </c>
      <c r="G453" s="114"/>
      <c r="H453" s="164"/>
      <c r="I453" s="116" t="s">
        <v>649</v>
      </c>
      <c r="J453" s="122"/>
      <c r="K453" s="182"/>
      <c r="L453" s="211" t="str">
        <f ca="1">IF(LEFT(L451,1)="※",L451,"Name")</f>
        <v>※システム種類を入力してください。(セル：L19)</v>
      </c>
      <c r="M453" s="136"/>
      <c r="N453" s="136"/>
      <c r="O453" s="136"/>
      <c r="P453" s="136"/>
      <c r="Q453" s="136"/>
      <c r="R453" s="136"/>
      <c r="S453" s="136"/>
      <c r="T453" s="136"/>
      <c r="U453" s="136"/>
      <c r="V453" s="136"/>
      <c r="W453" s="136"/>
      <c r="X453" s="136"/>
      <c r="Y453" s="136"/>
      <c r="Z453" s="136"/>
      <c r="AA453" s="136"/>
    </row>
    <row r="454" spans="3:27">
      <c r="C454" s="72"/>
      <c r="D454" s="72"/>
      <c r="E454" s="251"/>
      <c r="F454" s="237"/>
      <c r="G454" s="123"/>
      <c r="H454" s="219"/>
      <c r="I454" s="119" t="s">
        <v>135</v>
      </c>
      <c r="J454" s="120"/>
      <c r="K454" s="121"/>
      <c r="L454" s="226" t="str">
        <f ca="1">IF(L453="Name",L451,L453)</f>
        <v>※システム種類を入力してください。(セル：L19)</v>
      </c>
      <c r="M454" s="136"/>
      <c r="N454" s="136"/>
      <c r="O454" s="136"/>
      <c r="P454" s="136"/>
      <c r="Q454" s="136"/>
      <c r="R454" s="136"/>
      <c r="S454" s="136"/>
      <c r="T454" s="136"/>
      <c r="U454" s="136"/>
      <c r="V454" s="136"/>
      <c r="W454" s="136"/>
      <c r="X454" s="136"/>
      <c r="Y454" s="136"/>
      <c r="Z454" s="136"/>
      <c r="AA454" s="136"/>
    </row>
    <row r="455" spans="3:27">
      <c r="C455" s="72"/>
      <c r="D455" s="67" t="s">
        <v>60</v>
      </c>
      <c r="E455" s="114"/>
      <c r="F455" s="114"/>
      <c r="G455" s="114"/>
      <c r="H455" s="114"/>
      <c r="I455" s="114"/>
      <c r="J455" s="114"/>
      <c r="K455" s="114"/>
      <c r="L455" s="223"/>
      <c r="M455" s="136"/>
      <c r="N455" s="136"/>
      <c r="O455" s="136"/>
      <c r="P455" s="136"/>
      <c r="Q455" s="136"/>
      <c r="R455" s="136"/>
      <c r="S455" s="136"/>
      <c r="T455" s="136"/>
      <c r="U455" s="136"/>
      <c r="V455" s="136"/>
      <c r="W455" s="136"/>
      <c r="X455" s="136"/>
      <c r="Y455" s="136"/>
      <c r="Z455" s="136"/>
      <c r="AA455" s="136"/>
    </row>
    <row r="456" spans="3:27">
      <c r="C456" s="72"/>
      <c r="D456" s="72"/>
      <c r="E456" s="116" t="s">
        <v>39</v>
      </c>
      <c r="F456" s="122"/>
      <c r="G456" s="122"/>
      <c r="H456" s="122"/>
      <c r="I456" s="122"/>
      <c r="J456" s="122"/>
      <c r="K456" s="122"/>
      <c r="L456" s="236"/>
      <c r="M456" s="136"/>
      <c r="N456" s="136"/>
      <c r="O456" s="136"/>
      <c r="P456" s="136"/>
      <c r="Q456" s="136"/>
      <c r="R456" s="136"/>
      <c r="S456" s="136"/>
      <c r="T456" s="136"/>
      <c r="U456" s="136"/>
      <c r="V456" s="136"/>
      <c r="W456" s="136"/>
      <c r="X456" s="136"/>
      <c r="Y456" s="136"/>
      <c r="Z456" s="136"/>
      <c r="AA456" s="136"/>
    </row>
    <row r="457" spans="3:27">
      <c r="C457" s="72"/>
      <c r="D457" s="72"/>
      <c r="E457" s="117" t="s">
        <v>59</v>
      </c>
      <c r="F457" s="118"/>
      <c r="G457" s="118"/>
      <c r="H457" s="118"/>
      <c r="I457" s="118"/>
      <c r="J457" s="118"/>
      <c r="K457" s="245"/>
      <c r="L457" s="248" t="str" cm="1">
        <f t="array" aca="1" ref="L457" ca="1">IF(L19="","※システム種類を入力してください。"&amp;"(セル：L"&amp;CELL("row",L19)&amp;")",
IF(L456="","※連番を入力してください。"&amp;"(セル：L"&amp;CELL("row",L456)&amp;")",
IF(L456&lt;&gt;"",L19&amp;"-sg-remote-"&amp;L456)))</f>
        <v>※システム種類を入力してください。(セル：L19)</v>
      </c>
      <c r="M457" s="136"/>
      <c r="N457" s="136"/>
      <c r="O457" s="136"/>
      <c r="P457" s="136"/>
      <c r="Q457" s="136"/>
      <c r="R457" s="136"/>
      <c r="S457" s="136"/>
      <c r="T457" s="136"/>
      <c r="U457" s="136"/>
      <c r="V457" s="136"/>
      <c r="W457" s="136"/>
      <c r="X457" s="136"/>
      <c r="Y457" s="136"/>
      <c r="Z457" s="136"/>
      <c r="AA457" s="136"/>
    </row>
    <row r="458" spans="3:27">
      <c r="C458" s="72"/>
      <c r="D458" s="72"/>
      <c r="E458" s="117" t="s">
        <v>708</v>
      </c>
      <c r="F458" s="118"/>
      <c r="G458" s="118"/>
      <c r="H458" s="118"/>
      <c r="I458" s="118"/>
      <c r="J458" s="118"/>
      <c r="K458" s="245"/>
      <c r="L458" s="248" t="str">
        <f ca="1">L457</f>
        <v>※システム種類を入力してください。(セル：L19)</v>
      </c>
      <c r="M458" s="136"/>
      <c r="N458" s="136"/>
      <c r="O458" s="136"/>
      <c r="P458" s="136"/>
      <c r="Q458" s="136"/>
      <c r="R458" s="136"/>
      <c r="S458" s="136"/>
      <c r="T458" s="136"/>
      <c r="U458" s="136"/>
      <c r="V458" s="136"/>
      <c r="W458" s="136"/>
      <c r="X458" s="136"/>
      <c r="Y458" s="136"/>
      <c r="Z458" s="136"/>
      <c r="AA458" s="136"/>
    </row>
    <row r="459" spans="3:27">
      <c r="C459" s="72"/>
      <c r="D459" s="72"/>
      <c r="E459" s="119" t="s">
        <v>709</v>
      </c>
      <c r="F459" s="120"/>
      <c r="G459" s="120"/>
      <c r="H459" s="120"/>
      <c r="I459" s="120"/>
      <c r="J459" s="120"/>
      <c r="K459" s="121"/>
      <c r="L459" s="238">
        <f>L111</f>
        <v>0</v>
      </c>
      <c r="M459" s="136"/>
      <c r="N459" s="136"/>
      <c r="O459" s="136"/>
      <c r="P459" s="136"/>
      <c r="Q459" s="136"/>
      <c r="R459" s="136"/>
      <c r="S459" s="136"/>
      <c r="T459" s="136"/>
      <c r="U459" s="136"/>
      <c r="V459" s="136"/>
      <c r="W459" s="136"/>
      <c r="X459" s="136"/>
      <c r="Y459" s="136"/>
      <c r="Z459" s="136"/>
      <c r="AA459" s="136"/>
    </row>
    <row r="460" spans="3:27" ht="18.75" customHeight="1">
      <c r="C460" s="72"/>
      <c r="D460" s="72"/>
      <c r="E460" s="114" t="s">
        <v>710</v>
      </c>
      <c r="F460" s="114"/>
      <c r="G460" s="114"/>
      <c r="H460" s="114"/>
      <c r="I460" s="114"/>
      <c r="J460" s="114"/>
      <c r="K460" s="114"/>
      <c r="L460" s="223"/>
      <c r="M460" s="136"/>
      <c r="N460" s="136"/>
      <c r="O460" s="136"/>
      <c r="P460" s="136"/>
      <c r="Q460" s="136"/>
      <c r="R460" s="136"/>
      <c r="S460" s="136"/>
      <c r="T460" s="136"/>
      <c r="U460" s="136"/>
      <c r="V460" s="136"/>
      <c r="W460" s="136"/>
      <c r="X460" s="136"/>
      <c r="Y460" s="136"/>
      <c r="Z460" s="136"/>
      <c r="AA460" s="136"/>
    </row>
    <row r="461" spans="3:27" ht="18.75" customHeight="1">
      <c r="C461" s="72"/>
      <c r="D461" s="72"/>
      <c r="E461" s="250"/>
      <c r="F461" s="134" t="s">
        <v>648</v>
      </c>
      <c r="G461" s="114"/>
      <c r="H461" s="164"/>
      <c r="I461" s="116" t="s">
        <v>649</v>
      </c>
      <c r="J461" s="122"/>
      <c r="K461" s="182"/>
      <c r="L461" s="211" t="str">
        <f ca="1">IF(LEFT(L457,1)="※",L457,"Name")</f>
        <v>※システム種類を入力してください。(セル：L19)</v>
      </c>
      <c r="M461" s="136"/>
      <c r="N461" s="136"/>
      <c r="O461" s="136"/>
      <c r="P461" s="136"/>
      <c r="Q461" s="136"/>
      <c r="R461" s="136"/>
      <c r="S461" s="136"/>
      <c r="T461" s="136"/>
      <c r="U461" s="136"/>
      <c r="V461" s="136"/>
      <c r="W461" s="136"/>
      <c r="X461" s="136"/>
      <c r="Y461" s="136"/>
      <c r="Z461" s="136"/>
      <c r="AA461" s="136"/>
    </row>
    <row r="462" spans="3:27" ht="18.75" customHeight="1">
      <c r="C462" s="72"/>
      <c r="D462" s="72"/>
      <c r="E462" s="251"/>
      <c r="F462" s="237"/>
      <c r="G462" s="123"/>
      <c r="H462" s="219"/>
      <c r="I462" s="119" t="s">
        <v>135</v>
      </c>
      <c r="J462" s="120"/>
      <c r="K462" s="121"/>
      <c r="L462" s="226" t="str">
        <f ca="1">IF(L461="Name",L457,L461)</f>
        <v>※システム種類を入力してください。(セル：L19)</v>
      </c>
      <c r="M462" s="136"/>
      <c r="N462" s="136"/>
      <c r="O462" s="136"/>
      <c r="P462" s="136"/>
      <c r="Q462" s="136"/>
      <c r="R462" s="136"/>
      <c r="S462" s="136"/>
      <c r="T462" s="136"/>
      <c r="U462" s="136"/>
      <c r="V462" s="136"/>
      <c r="W462" s="136"/>
      <c r="X462" s="136"/>
      <c r="Y462" s="136"/>
      <c r="Z462" s="136"/>
      <c r="AA462" s="136"/>
    </row>
    <row r="463" spans="3:27">
      <c r="C463" s="72"/>
      <c r="D463" s="72"/>
      <c r="E463" s="67" t="s">
        <v>137</v>
      </c>
      <c r="F463" s="114"/>
      <c r="G463" s="114"/>
      <c r="H463" s="114"/>
      <c r="I463" s="114"/>
      <c r="J463" s="114"/>
      <c r="K463" s="58"/>
      <c r="L463" s="175"/>
      <c r="M463" s="136"/>
      <c r="N463" s="136"/>
      <c r="O463" s="136"/>
      <c r="P463" s="136"/>
      <c r="Q463" s="136"/>
      <c r="R463" s="136"/>
      <c r="S463" s="136"/>
      <c r="T463" s="136"/>
      <c r="U463" s="136"/>
      <c r="V463" s="136"/>
      <c r="W463" s="136"/>
      <c r="X463" s="136"/>
      <c r="Y463" s="136"/>
      <c r="Z463" s="136"/>
      <c r="AA463" s="136"/>
    </row>
    <row r="464" spans="3:27" ht="18.75" customHeight="1">
      <c r="C464" s="72"/>
      <c r="D464" s="72"/>
      <c r="E464" s="68"/>
      <c r="F464" s="67" t="s">
        <v>142</v>
      </c>
      <c r="G464" s="114"/>
      <c r="H464" s="114"/>
      <c r="I464" s="58"/>
      <c r="J464" s="58"/>
      <c r="K464" s="58"/>
      <c r="L464" s="60"/>
      <c r="M464" s="136"/>
      <c r="N464" s="136"/>
      <c r="O464" s="136"/>
      <c r="P464" s="136"/>
      <c r="Q464" s="136"/>
      <c r="R464" s="136"/>
      <c r="S464" s="136"/>
      <c r="T464" s="136"/>
      <c r="U464" s="136"/>
      <c r="V464" s="136"/>
      <c r="W464" s="136"/>
      <c r="X464" s="136"/>
      <c r="Y464" s="136"/>
      <c r="Z464" s="136"/>
      <c r="AA464" s="136"/>
    </row>
    <row r="465" spans="3:27" ht="18.75" customHeight="1">
      <c r="C465" s="72"/>
      <c r="D465" s="72"/>
      <c r="E465" s="68"/>
      <c r="F465" s="68"/>
      <c r="G465" s="133"/>
      <c r="H465" s="218"/>
      <c r="I465" s="217" t="s">
        <v>138</v>
      </c>
      <c r="J465" s="217"/>
      <c r="K465" s="217"/>
      <c r="L465" s="222"/>
      <c r="M465" s="136"/>
      <c r="N465" s="136"/>
      <c r="O465" s="136"/>
      <c r="P465" s="136"/>
      <c r="Q465" s="136"/>
      <c r="R465" s="136"/>
      <c r="S465" s="136"/>
      <c r="T465" s="136"/>
      <c r="U465" s="136"/>
      <c r="V465" s="136"/>
      <c r="W465" s="136"/>
      <c r="X465" s="136"/>
      <c r="Y465" s="136"/>
      <c r="Z465" s="136"/>
      <c r="AA465" s="136"/>
    </row>
    <row r="466" spans="3:27" ht="18.75" customHeight="1">
      <c r="C466" s="72"/>
      <c r="D466" s="72"/>
      <c r="E466" s="68"/>
      <c r="F466" s="68"/>
      <c r="G466" s="133"/>
      <c r="H466" s="218"/>
      <c r="I466" s="217" t="s">
        <v>139</v>
      </c>
      <c r="J466" s="217"/>
      <c r="K466" s="217"/>
      <c r="L466" s="222"/>
      <c r="M466" s="136"/>
      <c r="N466" s="136"/>
      <c r="O466" s="136"/>
      <c r="P466" s="136"/>
      <c r="Q466" s="136"/>
      <c r="R466" s="136"/>
      <c r="S466" s="136"/>
      <c r="T466" s="136"/>
      <c r="U466" s="136"/>
      <c r="V466" s="136"/>
      <c r="W466" s="136"/>
      <c r="X466" s="136"/>
      <c r="Y466" s="136"/>
      <c r="Z466" s="136"/>
      <c r="AA466" s="136"/>
    </row>
    <row r="467" spans="3:27" ht="18.75" customHeight="1">
      <c r="C467" s="72"/>
      <c r="D467" s="72"/>
      <c r="E467" s="68"/>
      <c r="F467" s="68"/>
      <c r="G467" s="133"/>
      <c r="H467" s="218"/>
      <c r="I467" s="133" t="s">
        <v>140</v>
      </c>
      <c r="J467" s="133"/>
      <c r="K467" s="133"/>
      <c r="L467" s="249"/>
      <c r="M467" s="136"/>
      <c r="N467" s="136"/>
      <c r="O467" s="136"/>
      <c r="P467" s="136"/>
      <c r="Q467" s="136"/>
      <c r="R467" s="136"/>
      <c r="S467" s="136"/>
      <c r="T467" s="136"/>
      <c r="U467" s="136"/>
      <c r="V467" s="136"/>
      <c r="W467" s="136"/>
      <c r="X467" s="136"/>
      <c r="Y467" s="136"/>
      <c r="Z467" s="136"/>
      <c r="AA467" s="136"/>
    </row>
    <row r="468" spans="3:27" ht="18.75" customHeight="1">
      <c r="C468" s="72"/>
      <c r="D468" s="72"/>
      <c r="E468" s="68"/>
      <c r="F468" s="68"/>
      <c r="G468" s="133"/>
      <c r="H468" s="133"/>
      <c r="I468" s="117" t="s">
        <v>141</v>
      </c>
      <c r="J468" s="118"/>
      <c r="K468" s="245"/>
      <c r="L468" s="230"/>
      <c r="M468" s="136"/>
      <c r="N468" s="136"/>
      <c r="O468" s="136"/>
      <c r="P468" s="136"/>
      <c r="Q468" s="136"/>
      <c r="R468" s="136"/>
      <c r="S468" s="136"/>
      <c r="T468" s="136"/>
      <c r="U468" s="136"/>
      <c r="V468" s="136"/>
      <c r="W468" s="136"/>
      <c r="X468" s="136"/>
      <c r="Y468" s="136"/>
      <c r="Z468" s="136"/>
      <c r="AA468" s="136"/>
    </row>
    <row r="469" spans="3:27" ht="18.75" customHeight="1">
      <c r="C469" s="72"/>
      <c r="D469" s="72"/>
      <c r="E469" s="68"/>
      <c r="F469" s="70"/>
      <c r="G469" s="123"/>
      <c r="H469" s="123"/>
      <c r="I469" s="119" t="s">
        <v>708</v>
      </c>
      <c r="J469" s="120"/>
      <c r="K469" s="121"/>
      <c r="L469" s="220"/>
      <c r="M469" s="136"/>
      <c r="N469" s="136"/>
      <c r="O469" s="136"/>
      <c r="P469" s="136"/>
      <c r="Q469" s="136"/>
      <c r="R469" s="136"/>
      <c r="S469" s="136"/>
      <c r="T469" s="136"/>
      <c r="U469" s="136"/>
      <c r="V469" s="136"/>
      <c r="W469" s="136"/>
      <c r="X469" s="136"/>
      <c r="Y469" s="136"/>
      <c r="Z469" s="136"/>
      <c r="AA469" s="136"/>
    </row>
    <row r="470" spans="3:27">
      <c r="C470" s="72"/>
      <c r="D470" s="72"/>
      <c r="E470" s="68"/>
      <c r="F470" s="67" t="s">
        <v>143</v>
      </c>
      <c r="G470" s="114"/>
      <c r="H470" s="114"/>
      <c r="I470" s="133"/>
      <c r="J470" s="133"/>
      <c r="K470" s="133"/>
      <c r="L470" s="218"/>
      <c r="M470" s="136"/>
      <c r="N470" s="136"/>
      <c r="O470" s="136"/>
      <c r="P470" s="136"/>
      <c r="Q470" s="136"/>
      <c r="R470" s="136"/>
      <c r="S470" s="136"/>
      <c r="T470" s="136"/>
      <c r="U470" s="136"/>
      <c r="V470" s="136"/>
      <c r="W470" s="136"/>
      <c r="X470" s="136"/>
      <c r="Y470" s="136"/>
      <c r="Z470" s="136"/>
      <c r="AA470" s="136"/>
    </row>
    <row r="471" spans="3:27" ht="18.75" customHeight="1">
      <c r="C471" s="72"/>
      <c r="D471" s="72"/>
      <c r="E471" s="68"/>
      <c r="F471" s="68"/>
      <c r="G471" s="133"/>
      <c r="H471" s="218"/>
      <c r="I471" s="116" t="s">
        <v>138</v>
      </c>
      <c r="J471" s="122"/>
      <c r="K471" s="122"/>
      <c r="L471" s="221"/>
      <c r="M471" s="136"/>
      <c r="N471" s="136"/>
      <c r="O471" s="136"/>
      <c r="P471" s="136"/>
      <c r="Q471" s="136"/>
      <c r="R471" s="136"/>
      <c r="S471" s="136"/>
      <c r="T471" s="136"/>
      <c r="U471" s="136"/>
      <c r="V471" s="136"/>
      <c r="W471" s="136"/>
      <c r="X471" s="136"/>
      <c r="Y471" s="136"/>
      <c r="Z471" s="136"/>
      <c r="AA471" s="136"/>
    </row>
    <row r="472" spans="3:27" ht="18.75" customHeight="1">
      <c r="C472" s="72"/>
      <c r="D472" s="72"/>
      <c r="E472" s="68"/>
      <c r="F472" s="68"/>
      <c r="G472" s="133"/>
      <c r="H472" s="218"/>
      <c r="I472" s="216" t="s">
        <v>139</v>
      </c>
      <c r="J472" s="217"/>
      <c r="K472" s="217"/>
      <c r="L472" s="222"/>
      <c r="M472" s="136"/>
      <c r="N472" s="136"/>
      <c r="O472" s="136"/>
      <c r="P472" s="136"/>
      <c r="Q472" s="136"/>
      <c r="R472" s="136"/>
      <c r="S472" s="136"/>
      <c r="T472" s="136"/>
      <c r="U472" s="136"/>
      <c r="V472" s="136"/>
      <c r="W472" s="136"/>
      <c r="X472" s="136"/>
      <c r="Y472" s="136"/>
      <c r="Z472" s="136"/>
      <c r="AA472" s="136"/>
    </row>
    <row r="473" spans="3:27" ht="18.75" customHeight="1">
      <c r="C473" s="72"/>
      <c r="D473" s="72"/>
      <c r="E473" s="68"/>
      <c r="F473" s="68"/>
      <c r="G473" s="133"/>
      <c r="H473" s="218"/>
      <c r="I473" s="216" t="s">
        <v>140</v>
      </c>
      <c r="J473" s="217"/>
      <c r="K473" s="217"/>
      <c r="L473" s="222"/>
      <c r="M473" s="136"/>
      <c r="N473" s="136"/>
      <c r="O473" s="136"/>
      <c r="P473" s="136"/>
      <c r="Q473" s="136"/>
      <c r="R473" s="136"/>
      <c r="S473" s="136"/>
      <c r="T473" s="136"/>
      <c r="U473" s="136"/>
      <c r="V473" s="136"/>
      <c r="W473" s="136"/>
      <c r="X473" s="136"/>
      <c r="Y473" s="136"/>
      <c r="Z473" s="136"/>
      <c r="AA473" s="136"/>
    </row>
    <row r="474" spans="3:27" ht="18.75" customHeight="1">
      <c r="C474" s="72"/>
      <c r="D474" s="72"/>
      <c r="E474" s="68"/>
      <c r="F474" s="68"/>
      <c r="G474" s="133"/>
      <c r="H474" s="218"/>
      <c r="I474" s="117" t="s">
        <v>141</v>
      </c>
      <c r="J474" s="118"/>
      <c r="K474" s="118"/>
      <c r="L474" s="230"/>
      <c r="M474" s="136"/>
      <c r="N474" s="136"/>
      <c r="O474" s="136"/>
      <c r="P474" s="136"/>
      <c r="Q474" s="136"/>
      <c r="R474" s="136"/>
      <c r="S474" s="136"/>
      <c r="T474" s="136"/>
      <c r="U474" s="136"/>
      <c r="V474" s="136"/>
      <c r="W474" s="136"/>
      <c r="X474" s="136"/>
      <c r="Y474" s="136"/>
      <c r="Z474" s="136"/>
      <c r="AA474" s="136"/>
    </row>
    <row r="475" spans="3:27" ht="18.75" customHeight="1">
      <c r="C475" s="72"/>
      <c r="D475" s="72"/>
      <c r="E475" s="68"/>
      <c r="F475" s="70"/>
      <c r="G475" s="123"/>
      <c r="H475" s="219"/>
      <c r="I475" s="119" t="s">
        <v>708</v>
      </c>
      <c r="J475" s="120"/>
      <c r="K475" s="121"/>
      <c r="L475" s="220"/>
      <c r="M475" s="136"/>
      <c r="N475" s="136"/>
      <c r="O475" s="136"/>
      <c r="P475" s="136"/>
      <c r="Q475" s="136"/>
      <c r="R475" s="136"/>
      <c r="S475" s="136"/>
      <c r="T475" s="136"/>
      <c r="U475" s="136"/>
      <c r="V475" s="136"/>
      <c r="W475" s="136"/>
      <c r="X475" s="136"/>
      <c r="Y475" s="136"/>
      <c r="Z475" s="136"/>
      <c r="AA475" s="136"/>
    </row>
    <row r="476" spans="3:27">
      <c r="C476" s="72"/>
      <c r="D476" s="72"/>
      <c r="E476" s="68"/>
      <c r="F476" s="67" t="s">
        <v>144</v>
      </c>
      <c r="G476" s="114"/>
      <c r="H476" s="114"/>
      <c r="I476" s="131"/>
      <c r="J476" s="131"/>
      <c r="K476" s="131"/>
      <c r="L476" s="132"/>
      <c r="M476" s="136"/>
      <c r="N476" s="136"/>
      <c r="O476" s="136"/>
      <c r="P476" s="136"/>
      <c r="Q476" s="136"/>
      <c r="R476" s="136"/>
      <c r="S476" s="136"/>
      <c r="T476" s="136"/>
      <c r="U476" s="136"/>
      <c r="V476" s="136"/>
      <c r="W476" s="136"/>
      <c r="X476" s="136"/>
      <c r="Y476" s="136"/>
      <c r="Z476" s="136"/>
      <c r="AA476" s="136"/>
    </row>
    <row r="477" spans="3:27" ht="18.75" customHeight="1">
      <c r="C477" s="72"/>
      <c r="D477" s="72"/>
      <c r="E477" s="68"/>
      <c r="F477" s="68"/>
      <c r="G477" s="133"/>
      <c r="H477" s="218"/>
      <c r="I477" s="116" t="s">
        <v>138</v>
      </c>
      <c r="J477" s="122"/>
      <c r="K477" s="122"/>
      <c r="L477" s="221"/>
      <c r="M477" s="136"/>
      <c r="N477" s="136"/>
      <c r="O477" s="136"/>
      <c r="P477" s="136"/>
      <c r="Q477" s="136"/>
      <c r="R477" s="136"/>
      <c r="S477" s="136"/>
      <c r="T477" s="136"/>
      <c r="U477" s="136"/>
      <c r="V477" s="136"/>
      <c r="W477" s="136"/>
      <c r="X477" s="136"/>
      <c r="Y477" s="136"/>
      <c r="Z477" s="136"/>
      <c r="AA477" s="136"/>
    </row>
    <row r="478" spans="3:27" ht="18.75" customHeight="1">
      <c r="C478" s="72"/>
      <c r="D478" s="72"/>
      <c r="E478" s="68"/>
      <c r="F478" s="68"/>
      <c r="G478" s="133"/>
      <c r="H478" s="218"/>
      <c r="I478" s="216" t="s">
        <v>139</v>
      </c>
      <c r="J478" s="217"/>
      <c r="K478" s="217"/>
      <c r="L478" s="222"/>
      <c r="M478" s="136"/>
      <c r="N478" s="136"/>
      <c r="O478" s="136"/>
      <c r="P478" s="136"/>
      <c r="Q478" s="136"/>
      <c r="R478" s="136"/>
      <c r="S478" s="136"/>
      <c r="T478" s="136"/>
      <c r="U478" s="136"/>
      <c r="V478" s="136"/>
      <c r="W478" s="136"/>
      <c r="X478" s="136"/>
      <c r="Y478" s="136"/>
      <c r="Z478" s="136"/>
      <c r="AA478" s="136"/>
    </row>
    <row r="479" spans="3:27" ht="18.75" customHeight="1">
      <c r="C479" s="72"/>
      <c r="D479" s="72"/>
      <c r="E479" s="68"/>
      <c r="F479" s="68"/>
      <c r="G479" s="133"/>
      <c r="H479" s="218"/>
      <c r="I479" s="216" t="s">
        <v>140</v>
      </c>
      <c r="J479" s="217"/>
      <c r="K479" s="217"/>
      <c r="L479" s="222"/>
      <c r="M479" s="136"/>
      <c r="N479" s="136"/>
      <c r="O479" s="136"/>
      <c r="P479" s="136"/>
      <c r="Q479" s="136"/>
      <c r="R479" s="136"/>
      <c r="S479" s="136"/>
      <c r="T479" s="136"/>
      <c r="U479" s="136"/>
      <c r="V479" s="136"/>
      <c r="W479" s="136"/>
      <c r="X479" s="136"/>
      <c r="Y479" s="136"/>
      <c r="Z479" s="136"/>
      <c r="AA479" s="136"/>
    </row>
    <row r="480" spans="3:27" ht="18.75" customHeight="1">
      <c r="C480" s="72"/>
      <c r="D480" s="72"/>
      <c r="E480" s="68"/>
      <c r="F480" s="68"/>
      <c r="G480" s="133"/>
      <c r="H480" s="218"/>
      <c r="I480" s="117" t="s">
        <v>141</v>
      </c>
      <c r="J480" s="118"/>
      <c r="K480" s="118"/>
      <c r="L480" s="230"/>
      <c r="M480" s="136"/>
      <c r="N480" s="136"/>
      <c r="O480" s="136"/>
      <c r="P480" s="136"/>
      <c r="Q480" s="136"/>
      <c r="R480" s="136"/>
      <c r="S480" s="136"/>
      <c r="T480" s="136"/>
      <c r="U480" s="136"/>
      <c r="V480" s="136"/>
      <c r="W480" s="136"/>
      <c r="X480" s="136"/>
      <c r="Y480" s="136"/>
      <c r="Z480" s="136"/>
      <c r="AA480" s="136"/>
    </row>
    <row r="481" spans="3:27" ht="18.75" customHeight="1">
      <c r="C481" s="72"/>
      <c r="D481" s="72"/>
      <c r="E481" s="68"/>
      <c r="F481" s="70"/>
      <c r="G481" s="123"/>
      <c r="H481" s="219"/>
      <c r="I481" s="119" t="s">
        <v>708</v>
      </c>
      <c r="J481" s="120"/>
      <c r="K481" s="121"/>
      <c r="L481" s="276"/>
      <c r="M481" s="136"/>
      <c r="N481" s="136"/>
      <c r="O481" s="136"/>
      <c r="P481" s="136"/>
      <c r="Q481" s="136"/>
      <c r="R481" s="136"/>
      <c r="S481" s="136"/>
      <c r="T481" s="136"/>
      <c r="U481" s="136"/>
      <c r="V481" s="136"/>
      <c r="W481" s="136"/>
      <c r="X481" s="136"/>
      <c r="Y481" s="136"/>
      <c r="Z481" s="136"/>
      <c r="AA481" s="136"/>
    </row>
    <row r="482" spans="3:27">
      <c r="C482" s="72"/>
      <c r="D482" s="72"/>
      <c r="E482" s="68"/>
      <c r="F482" s="67" t="s">
        <v>145</v>
      </c>
      <c r="G482" s="114"/>
      <c r="H482" s="114"/>
      <c r="I482" s="131"/>
      <c r="J482" s="131"/>
      <c r="K482" s="131"/>
      <c r="L482" s="132"/>
      <c r="M482" s="136"/>
      <c r="N482" s="136"/>
      <c r="O482" s="136"/>
      <c r="P482" s="136"/>
      <c r="Q482" s="136"/>
      <c r="R482" s="136"/>
      <c r="S482" s="136"/>
      <c r="T482" s="136"/>
      <c r="U482" s="136"/>
      <c r="V482" s="136"/>
      <c r="W482" s="136"/>
      <c r="X482" s="136"/>
      <c r="Y482" s="136"/>
      <c r="Z482" s="136"/>
      <c r="AA482" s="136"/>
    </row>
    <row r="483" spans="3:27" ht="18.75" customHeight="1">
      <c r="C483" s="72"/>
      <c r="D483" s="72"/>
      <c r="E483" s="68"/>
      <c r="F483" s="68"/>
      <c r="G483" s="133"/>
      <c r="H483" s="218"/>
      <c r="I483" s="116" t="s">
        <v>138</v>
      </c>
      <c r="J483" s="122"/>
      <c r="K483" s="122"/>
      <c r="L483" s="221"/>
      <c r="M483" s="136"/>
      <c r="N483" s="136"/>
      <c r="O483" s="136"/>
      <c r="P483" s="136"/>
      <c r="Q483" s="136"/>
      <c r="R483" s="136"/>
      <c r="S483" s="136"/>
      <c r="T483" s="136"/>
      <c r="U483" s="136"/>
      <c r="V483" s="136"/>
      <c r="W483" s="136"/>
      <c r="X483" s="136"/>
      <c r="Y483" s="136"/>
      <c r="Z483" s="136"/>
      <c r="AA483" s="136"/>
    </row>
    <row r="484" spans="3:27" ht="18.75" customHeight="1">
      <c r="C484" s="72"/>
      <c r="D484" s="72"/>
      <c r="E484" s="68"/>
      <c r="F484" s="68"/>
      <c r="G484" s="133"/>
      <c r="H484" s="218"/>
      <c r="I484" s="216" t="s">
        <v>139</v>
      </c>
      <c r="J484" s="217"/>
      <c r="K484" s="217"/>
      <c r="L484" s="222"/>
      <c r="M484" s="136"/>
      <c r="N484" s="136"/>
      <c r="O484" s="136"/>
      <c r="P484" s="136"/>
      <c r="Q484" s="136"/>
      <c r="R484" s="136"/>
      <c r="S484" s="136"/>
      <c r="T484" s="136"/>
      <c r="U484" s="136"/>
      <c r="V484" s="136"/>
      <c r="W484" s="136"/>
      <c r="X484" s="136"/>
      <c r="Y484" s="136"/>
      <c r="Z484" s="136"/>
      <c r="AA484" s="136"/>
    </row>
    <row r="485" spans="3:27" ht="18.75" customHeight="1">
      <c r="C485" s="72"/>
      <c r="D485" s="72"/>
      <c r="E485" s="68"/>
      <c r="F485" s="68"/>
      <c r="G485" s="133"/>
      <c r="H485" s="218"/>
      <c r="I485" s="216" t="s">
        <v>140</v>
      </c>
      <c r="J485" s="217"/>
      <c r="K485" s="217"/>
      <c r="L485" s="222"/>
      <c r="M485" s="136"/>
      <c r="N485" s="136"/>
      <c r="O485" s="136"/>
      <c r="P485" s="136"/>
      <c r="Q485" s="136"/>
      <c r="R485" s="136"/>
      <c r="S485" s="136"/>
      <c r="T485" s="136"/>
      <c r="U485" s="136"/>
      <c r="V485" s="136"/>
      <c r="W485" s="136"/>
      <c r="X485" s="136"/>
      <c r="Y485" s="136"/>
      <c r="Z485" s="136"/>
      <c r="AA485" s="136"/>
    </row>
    <row r="486" spans="3:27" ht="18.75" customHeight="1">
      <c r="C486" s="72"/>
      <c r="D486" s="72"/>
      <c r="E486" s="68"/>
      <c r="F486" s="68"/>
      <c r="G486" s="133"/>
      <c r="H486" s="218"/>
      <c r="I486" s="117" t="s">
        <v>141</v>
      </c>
      <c r="J486" s="118"/>
      <c r="K486" s="118"/>
      <c r="L486" s="230"/>
      <c r="M486" s="136"/>
      <c r="N486" s="136"/>
      <c r="O486" s="136"/>
      <c r="P486" s="136"/>
      <c r="Q486" s="136"/>
      <c r="R486" s="136"/>
      <c r="S486" s="136"/>
      <c r="T486" s="136"/>
      <c r="U486" s="136"/>
      <c r="V486" s="136"/>
      <c r="W486" s="136"/>
      <c r="X486" s="136"/>
      <c r="Y486" s="136"/>
      <c r="Z486" s="136"/>
      <c r="AA486" s="136"/>
    </row>
    <row r="487" spans="3:27" ht="18.75" customHeight="1">
      <c r="C487" s="72"/>
      <c r="D487" s="72"/>
      <c r="E487" s="68"/>
      <c r="F487" s="70"/>
      <c r="G487" s="123"/>
      <c r="H487" s="219"/>
      <c r="I487" s="119" t="s">
        <v>708</v>
      </c>
      <c r="J487" s="120"/>
      <c r="K487" s="121"/>
      <c r="L487" s="220"/>
      <c r="M487" s="136"/>
      <c r="N487" s="136"/>
      <c r="O487" s="136"/>
      <c r="P487" s="136"/>
      <c r="Q487" s="136"/>
      <c r="R487" s="136"/>
      <c r="S487" s="136"/>
      <c r="T487" s="136"/>
      <c r="U487" s="136"/>
      <c r="V487" s="136"/>
      <c r="W487" s="136"/>
      <c r="X487" s="136"/>
      <c r="Y487" s="136"/>
      <c r="Z487" s="136"/>
      <c r="AA487" s="136"/>
    </row>
    <row r="488" spans="3:27">
      <c r="C488" s="72"/>
      <c r="D488" s="72"/>
      <c r="E488" s="72"/>
      <c r="F488" s="67" t="s">
        <v>146</v>
      </c>
      <c r="G488" s="114"/>
      <c r="H488" s="114"/>
      <c r="I488" s="131"/>
      <c r="J488" s="131"/>
      <c r="K488" s="131"/>
      <c r="L488" s="132"/>
      <c r="M488" s="136"/>
      <c r="N488" s="136"/>
      <c r="O488" s="136"/>
      <c r="P488" s="136"/>
      <c r="Q488" s="136"/>
      <c r="R488" s="136"/>
      <c r="S488" s="136"/>
      <c r="T488" s="136"/>
      <c r="U488" s="136"/>
      <c r="V488" s="136"/>
      <c r="W488" s="136"/>
      <c r="X488" s="136"/>
      <c r="Y488" s="136"/>
      <c r="Z488" s="136"/>
      <c r="AA488" s="136"/>
    </row>
    <row r="489" spans="3:27" ht="18.75" customHeight="1">
      <c r="C489" s="72"/>
      <c r="D489" s="72"/>
      <c r="E489" s="68"/>
      <c r="F489" s="68"/>
      <c r="G489" s="133"/>
      <c r="H489" s="218"/>
      <c r="I489" s="116" t="s">
        <v>138</v>
      </c>
      <c r="J489" s="122"/>
      <c r="K489" s="122"/>
      <c r="L489" s="221"/>
      <c r="M489" s="136"/>
      <c r="N489" s="136"/>
      <c r="O489" s="136"/>
      <c r="P489" s="136"/>
      <c r="Q489" s="136"/>
      <c r="R489" s="136"/>
      <c r="S489" s="136"/>
      <c r="T489" s="136"/>
      <c r="U489" s="136"/>
      <c r="V489" s="136"/>
      <c r="W489" s="136"/>
      <c r="X489" s="136"/>
      <c r="Y489" s="136"/>
      <c r="Z489" s="136"/>
      <c r="AA489" s="136"/>
    </row>
    <row r="490" spans="3:27" ht="18.75" customHeight="1">
      <c r="C490" s="72"/>
      <c r="D490" s="72"/>
      <c r="E490" s="68"/>
      <c r="F490" s="68"/>
      <c r="G490" s="133"/>
      <c r="H490" s="218"/>
      <c r="I490" s="216" t="s">
        <v>139</v>
      </c>
      <c r="J490" s="217"/>
      <c r="K490" s="217"/>
      <c r="L490" s="222"/>
      <c r="M490" s="136"/>
      <c r="N490" s="136"/>
      <c r="O490" s="136"/>
      <c r="P490" s="136"/>
      <c r="Q490" s="136"/>
      <c r="R490" s="136"/>
      <c r="S490" s="136"/>
      <c r="T490" s="136"/>
      <c r="U490" s="136"/>
      <c r="V490" s="136"/>
      <c r="W490" s="136"/>
      <c r="X490" s="136"/>
      <c r="Y490" s="136"/>
      <c r="Z490" s="136"/>
      <c r="AA490" s="136"/>
    </row>
    <row r="491" spans="3:27" ht="18.75" customHeight="1">
      <c r="C491" s="72"/>
      <c r="D491" s="72"/>
      <c r="E491" s="68"/>
      <c r="F491" s="68"/>
      <c r="G491" s="133"/>
      <c r="H491" s="218"/>
      <c r="I491" s="216" t="s">
        <v>140</v>
      </c>
      <c r="J491" s="217"/>
      <c r="K491" s="217"/>
      <c r="L491" s="222"/>
      <c r="M491" s="136"/>
      <c r="N491" s="136"/>
      <c r="O491" s="136"/>
      <c r="P491" s="136"/>
      <c r="Q491" s="136"/>
      <c r="R491" s="136"/>
      <c r="S491" s="136"/>
      <c r="T491" s="136"/>
      <c r="U491" s="136"/>
      <c r="V491" s="136"/>
      <c r="W491" s="136"/>
      <c r="X491" s="136"/>
      <c r="Y491" s="136"/>
      <c r="Z491" s="136"/>
      <c r="AA491" s="136"/>
    </row>
    <row r="492" spans="3:27" ht="18.75" customHeight="1">
      <c r="C492" s="72"/>
      <c r="D492" s="72"/>
      <c r="E492" s="68"/>
      <c r="F492" s="68"/>
      <c r="G492" s="133"/>
      <c r="H492" s="218"/>
      <c r="I492" s="117" t="s">
        <v>141</v>
      </c>
      <c r="J492" s="118"/>
      <c r="K492" s="118"/>
      <c r="L492" s="230"/>
      <c r="M492" s="136"/>
      <c r="N492" s="136"/>
      <c r="O492" s="136"/>
      <c r="P492" s="136"/>
      <c r="Q492" s="136"/>
      <c r="R492" s="136"/>
      <c r="S492" s="136"/>
      <c r="T492" s="136"/>
      <c r="U492" s="136"/>
      <c r="V492" s="136"/>
      <c r="W492" s="136"/>
      <c r="X492" s="136"/>
      <c r="Y492" s="136"/>
      <c r="Z492" s="136"/>
      <c r="AA492" s="136"/>
    </row>
    <row r="493" spans="3:27" ht="18.75" customHeight="1">
      <c r="C493" s="72"/>
      <c r="D493" s="72"/>
      <c r="E493" s="68"/>
      <c r="F493" s="70"/>
      <c r="G493" s="123"/>
      <c r="H493" s="219"/>
      <c r="I493" s="119" t="s">
        <v>708</v>
      </c>
      <c r="J493" s="120"/>
      <c r="K493" s="121"/>
      <c r="L493" s="220"/>
      <c r="M493" s="136"/>
      <c r="N493" s="136"/>
      <c r="O493" s="136"/>
      <c r="P493" s="136"/>
      <c r="Q493" s="136"/>
      <c r="R493" s="136"/>
      <c r="S493" s="136"/>
      <c r="T493" s="136"/>
      <c r="U493" s="136"/>
      <c r="V493" s="136"/>
      <c r="W493" s="136"/>
      <c r="X493" s="136"/>
      <c r="Y493" s="136"/>
      <c r="Z493" s="136"/>
      <c r="AA493" s="136"/>
    </row>
    <row r="494" spans="3:27" ht="18.75" customHeight="1">
      <c r="C494" s="72"/>
      <c r="D494" s="72"/>
      <c r="E494" s="68"/>
      <c r="F494" s="67" t="s">
        <v>147</v>
      </c>
      <c r="G494" s="114"/>
      <c r="H494" s="114"/>
      <c r="I494" s="58"/>
      <c r="J494" s="58"/>
      <c r="K494" s="58"/>
      <c r="L494" s="60"/>
      <c r="M494" s="136"/>
      <c r="N494" s="136"/>
      <c r="O494" s="136"/>
      <c r="P494" s="136"/>
      <c r="Q494" s="136"/>
      <c r="R494" s="136"/>
      <c r="S494" s="136"/>
      <c r="T494" s="136"/>
      <c r="U494" s="136"/>
      <c r="V494" s="136"/>
      <c r="W494" s="136"/>
      <c r="X494" s="136"/>
      <c r="Y494" s="136"/>
      <c r="Z494" s="136"/>
      <c r="AA494" s="136"/>
    </row>
    <row r="495" spans="3:27" ht="18.75" customHeight="1">
      <c r="C495" s="72"/>
      <c r="D495" s="72"/>
      <c r="E495" s="68"/>
      <c r="F495" s="68"/>
      <c r="G495" s="133"/>
      <c r="H495" s="218"/>
      <c r="I495" s="217" t="s">
        <v>138</v>
      </c>
      <c r="J495" s="217"/>
      <c r="K495" s="217"/>
      <c r="L495" s="222"/>
      <c r="M495" s="136"/>
      <c r="N495" s="136"/>
      <c r="O495" s="136"/>
      <c r="P495" s="136"/>
      <c r="Q495" s="136"/>
      <c r="R495" s="136"/>
      <c r="S495" s="136"/>
      <c r="T495" s="136"/>
      <c r="U495" s="136"/>
      <c r="V495" s="136"/>
      <c r="W495" s="136"/>
      <c r="X495" s="136"/>
      <c r="Y495" s="136"/>
      <c r="Z495" s="136"/>
      <c r="AA495" s="136"/>
    </row>
    <row r="496" spans="3:27" ht="18.75" customHeight="1">
      <c r="C496" s="72"/>
      <c r="D496" s="72"/>
      <c r="E496" s="68"/>
      <c r="F496" s="68"/>
      <c r="G496" s="133"/>
      <c r="H496" s="218"/>
      <c r="I496" s="217" t="s">
        <v>139</v>
      </c>
      <c r="J496" s="217"/>
      <c r="K496" s="217"/>
      <c r="L496" s="222"/>
      <c r="M496" s="136"/>
      <c r="N496" s="136"/>
      <c r="O496" s="136"/>
      <c r="P496" s="136"/>
      <c r="Q496" s="136"/>
      <c r="R496" s="136"/>
      <c r="S496" s="136"/>
      <c r="T496" s="136"/>
      <c r="U496" s="136"/>
      <c r="V496" s="136"/>
      <c r="W496" s="136"/>
      <c r="X496" s="136"/>
      <c r="Y496" s="136"/>
      <c r="Z496" s="136"/>
      <c r="AA496" s="136"/>
    </row>
    <row r="497" spans="3:27" ht="18.75" customHeight="1">
      <c r="C497" s="72"/>
      <c r="D497" s="72"/>
      <c r="E497" s="68"/>
      <c r="F497" s="68"/>
      <c r="G497" s="133"/>
      <c r="H497" s="218"/>
      <c r="I497" s="133" t="s">
        <v>140</v>
      </c>
      <c r="J497" s="133"/>
      <c r="K497" s="133"/>
      <c r="L497" s="249"/>
      <c r="M497" s="136"/>
      <c r="N497" s="136"/>
      <c r="O497" s="136"/>
      <c r="P497" s="136"/>
      <c r="Q497" s="136"/>
      <c r="R497" s="136"/>
      <c r="S497" s="136"/>
      <c r="T497" s="136"/>
      <c r="U497" s="136"/>
      <c r="V497" s="136"/>
      <c r="W497" s="136"/>
      <c r="X497" s="136"/>
      <c r="Y497" s="136"/>
      <c r="Z497" s="136"/>
      <c r="AA497" s="136"/>
    </row>
    <row r="498" spans="3:27" ht="18.75" customHeight="1">
      <c r="C498" s="72"/>
      <c r="D498" s="72"/>
      <c r="E498" s="68"/>
      <c r="F498" s="68"/>
      <c r="G498" s="133"/>
      <c r="H498" s="133"/>
      <c r="I498" s="117" t="s">
        <v>141</v>
      </c>
      <c r="J498" s="118"/>
      <c r="K498" s="245"/>
      <c r="L498" s="230"/>
      <c r="M498" s="136"/>
      <c r="N498" s="136"/>
      <c r="O498" s="136"/>
      <c r="P498" s="136"/>
      <c r="Q498" s="136"/>
      <c r="R498" s="136"/>
      <c r="S498" s="136"/>
      <c r="T498" s="136"/>
      <c r="U498" s="136"/>
      <c r="V498" s="136"/>
      <c r="W498" s="136"/>
      <c r="X498" s="136"/>
      <c r="Y498" s="136"/>
      <c r="Z498" s="136"/>
      <c r="AA498" s="136"/>
    </row>
    <row r="499" spans="3:27" ht="18.75" customHeight="1">
      <c r="C499" s="72"/>
      <c r="D499" s="72"/>
      <c r="E499" s="68"/>
      <c r="F499" s="70"/>
      <c r="G499" s="123"/>
      <c r="H499" s="123"/>
      <c r="I499" s="119" t="s">
        <v>708</v>
      </c>
      <c r="J499" s="120"/>
      <c r="K499" s="121"/>
      <c r="L499" s="220"/>
      <c r="M499" s="136"/>
      <c r="N499" s="136"/>
      <c r="O499" s="136"/>
      <c r="P499" s="136"/>
      <c r="Q499" s="136"/>
      <c r="R499" s="136"/>
      <c r="S499" s="136"/>
      <c r="T499" s="136"/>
      <c r="U499" s="136"/>
      <c r="V499" s="136"/>
      <c r="W499" s="136"/>
      <c r="X499" s="136"/>
      <c r="Y499" s="136"/>
      <c r="Z499" s="136"/>
      <c r="AA499" s="136"/>
    </row>
    <row r="500" spans="3:27">
      <c r="C500" s="72"/>
      <c r="D500" s="72"/>
      <c r="E500" s="68"/>
      <c r="F500" s="67" t="s">
        <v>148</v>
      </c>
      <c r="G500" s="114"/>
      <c r="H500" s="114"/>
      <c r="I500" s="133"/>
      <c r="J500" s="133"/>
      <c r="K500" s="133"/>
      <c r="L500" s="218"/>
      <c r="M500" s="136"/>
      <c r="N500" s="136"/>
      <c r="O500" s="136"/>
      <c r="P500" s="136"/>
      <c r="Q500" s="136"/>
      <c r="R500" s="136"/>
      <c r="S500" s="136"/>
      <c r="T500" s="136"/>
      <c r="U500" s="136"/>
      <c r="V500" s="136"/>
      <c r="W500" s="136"/>
      <c r="X500" s="136"/>
      <c r="Y500" s="136"/>
      <c r="Z500" s="136"/>
      <c r="AA500" s="136"/>
    </row>
    <row r="501" spans="3:27" ht="18.75" customHeight="1">
      <c r="C501" s="72"/>
      <c r="D501" s="72"/>
      <c r="E501" s="68"/>
      <c r="F501" s="68"/>
      <c r="G501" s="133"/>
      <c r="H501" s="218"/>
      <c r="I501" s="116" t="s">
        <v>138</v>
      </c>
      <c r="J501" s="122"/>
      <c r="K501" s="122"/>
      <c r="L501" s="221"/>
      <c r="M501" s="136"/>
      <c r="N501" s="136"/>
      <c r="O501" s="136"/>
      <c r="P501" s="136"/>
      <c r="Q501" s="136"/>
      <c r="R501" s="136"/>
      <c r="S501" s="136"/>
      <c r="T501" s="136"/>
      <c r="U501" s="136"/>
      <c r="V501" s="136"/>
      <c r="W501" s="136"/>
      <c r="X501" s="136"/>
      <c r="Y501" s="136"/>
      <c r="Z501" s="136"/>
      <c r="AA501" s="136"/>
    </row>
    <row r="502" spans="3:27" ht="18.75" customHeight="1">
      <c r="C502" s="72"/>
      <c r="D502" s="72"/>
      <c r="E502" s="68"/>
      <c r="F502" s="68"/>
      <c r="G502" s="133"/>
      <c r="H502" s="218"/>
      <c r="I502" s="216" t="s">
        <v>139</v>
      </c>
      <c r="J502" s="217"/>
      <c r="K502" s="217"/>
      <c r="L502" s="222"/>
      <c r="M502" s="136"/>
      <c r="N502" s="136"/>
      <c r="O502" s="136"/>
      <c r="P502" s="136"/>
      <c r="Q502" s="136"/>
      <c r="R502" s="136"/>
      <c r="S502" s="136"/>
      <c r="T502" s="136"/>
      <c r="U502" s="136"/>
      <c r="V502" s="136"/>
      <c r="W502" s="136"/>
      <c r="X502" s="136"/>
      <c r="Y502" s="136"/>
      <c r="Z502" s="136"/>
      <c r="AA502" s="136"/>
    </row>
    <row r="503" spans="3:27" ht="18.75" customHeight="1">
      <c r="C503" s="72"/>
      <c r="D503" s="72"/>
      <c r="E503" s="68"/>
      <c r="F503" s="68"/>
      <c r="G503" s="133"/>
      <c r="H503" s="218"/>
      <c r="I503" s="216" t="s">
        <v>140</v>
      </c>
      <c r="J503" s="217"/>
      <c r="K503" s="217"/>
      <c r="L503" s="222"/>
      <c r="M503" s="136"/>
      <c r="N503" s="136"/>
      <c r="O503" s="136"/>
      <c r="P503" s="136"/>
      <c r="Q503" s="136"/>
      <c r="R503" s="136"/>
      <c r="S503" s="136"/>
      <c r="T503" s="136"/>
      <c r="U503" s="136"/>
      <c r="V503" s="136"/>
      <c r="W503" s="136"/>
      <c r="X503" s="136"/>
      <c r="Y503" s="136"/>
      <c r="Z503" s="136"/>
      <c r="AA503" s="136"/>
    </row>
    <row r="504" spans="3:27" ht="18.75" customHeight="1">
      <c r="C504" s="72"/>
      <c r="D504" s="72"/>
      <c r="E504" s="68"/>
      <c r="F504" s="68"/>
      <c r="G504" s="133"/>
      <c r="H504" s="218"/>
      <c r="I504" s="117" t="s">
        <v>141</v>
      </c>
      <c r="J504" s="118"/>
      <c r="K504" s="118"/>
      <c r="L504" s="230"/>
      <c r="M504" s="136"/>
      <c r="N504" s="136"/>
      <c r="O504" s="136"/>
      <c r="P504" s="136"/>
      <c r="Q504" s="136"/>
      <c r="R504" s="136"/>
      <c r="S504" s="136"/>
      <c r="T504" s="136"/>
      <c r="U504" s="136"/>
      <c r="V504" s="136"/>
      <c r="W504" s="136"/>
      <c r="X504" s="136"/>
      <c r="Y504" s="136"/>
      <c r="Z504" s="136"/>
      <c r="AA504" s="136"/>
    </row>
    <row r="505" spans="3:27" ht="18.75" customHeight="1">
      <c r="C505" s="72"/>
      <c r="D505" s="72"/>
      <c r="E505" s="68"/>
      <c r="F505" s="70"/>
      <c r="G505" s="123"/>
      <c r="H505" s="219"/>
      <c r="I505" s="119" t="s">
        <v>708</v>
      </c>
      <c r="J505" s="120"/>
      <c r="K505" s="121"/>
      <c r="L505" s="220"/>
      <c r="M505" s="136"/>
      <c r="N505" s="136"/>
      <c r="O505" s="136"/>
      <c r="P505" s="136"/>
      <c r="Q505" s="136"/>
      <c r="R505" s="136"/>
      <c r="S505" s="136"/>
      <c r="T505" s="136"/>
      <c r="U505" s="136"/>
      <c r="V505" s="136"/>
      <c r="W505" s="136"/>
      <c r="X505" s="136"/>
      <c r="Y505" s="136"/>
      <c r="Z505" s="136"/>
      <c r="AA505" s="136"/>
    </row>
    <row r="506" spans="3:27">
      <c r="C506" s="72"/>
      <c r="D506" s="72"/>
      <c r="E506" s="68"/>
      <c r="F506" s="67" t="s">
        <v>149</v>
      </c>
      <c r="G506" s="114"/>
      <c r="H506" s="114"/>
      <c r="I506" s="131"/>
      <c r="J506" s="131"/>
      <c r="K506" s="131"/>
      <c r="L506" s="132"/>
      <c r="M506" s="136"/>
      <c r="N506" s="136"/>
      <c r="O506" s="136"/>
      <c r="P506" s="136"/>
      <c r="Q506" s="136"/>
      <c r="R506" s="136"/>
      <c r="S506" s="136"/>
      <c r="T506" s="136"/>
      <c r="U506" s="136"/>
      <c r="V506" s="136"/>
      <c r="W506" s="136"/>
      <c r="X506" s="136"/>
      <c r="Y506" s="136"/>
      <c r="Z506" s="136"/>
      <c r="AA506" s="136"/>
    </row>
    <row r="507" spans="3:27" ht="18.75" customHeight="1">
      <c r="C507" s="72"/>
      <c r="D507" s="72"/>
      <c r="E507" s="68"/>
      <c r="F507" s="68"/>
      <c r="G507" s="133"/>
      <c r="H507" s="218"/>
      <c r="I507" s="116" t="s">
        <v>138</v>
      </c>
      <c r="J507" s="122"/>
      <c r="K507" s="122"/>
      <c r="L507" s="221"/>
      <c r="M507" s="136"/>
      <c r="N507" s="136"/>
      <c r="O507" s="136"/>
      <c r="P507" s="136"/>
      <c r="Q507" s="136"/>
      <c r="R507" s="136"/>
      <c r="S507" s="136"/>
      <c r="T507" s="136"/>
      <c r="U507" s="136"/>
      <c r="V507" s="136"/>
      <c r="W507" s="136"/>
      <c r="X507" s="136"/>
      <c r="Y507" s="136"/>
      <c r="Z507" s="136"/>
      <c r="AA507" s="136"/>
    </row>
    <row r="508" spans="3:27" ht="18.75" customHeight="1">
      <c r="C508" s="72"/>
      <c r="D508" s="72"/>
      <c r="E508" s="68"/>
      <c r="F508" s="68"/>
      <c r="G508" s="133"/>
      <c r="H508" s="218"/>
      <c r="I508" s="216" t="s">
        <v>139</v>
      </c>
      <c r="J508" s="217"/>
      <c r="K508" s="217"/>
      <c r="L508" s="222"/>
      <c r="M508" s="136"/>
      <c r="N508" s="136"/>
      <c r="O508" s="136"/>
      <c r="P508" s="136"/>
      <c r="Q508" s="136"/>
      <c r="R508" s="136"/>
      <c r="S508" s="136"/>
      <c r="T508" s="136"/>
      <c r="U508" s="136"/>
      <c r="V508" s="136"/>
      <c r="W508" s="136"/>
      <c r="X508" s="136"/>
      <c r="Y508" s="136"/>
      <c r="Z508" s="136"/>
      <c r="AA508" s="136"/>
    </row>
    <row r="509" spans="3:27" ht="18.75" customHeight="1">
      <c r="C509" s="72"/>
      <c r="D509" s="72"/>
      <c r="E509" s="68"/>
      <c r="F509" s="68"/>
      <c r="G509" s="133"/>
      <c r="H509" s="218"/>
      <c r="I509" s="216" t="s">
        <v>140</v>
      </c>
      <c r="J509" s="217"/>
      <c r="K509" s="217"/>
      <c r="L509" s="222"/>
      <c r="M509" s="136"/>
      <c r="N509" s="136"/>
      <c r="O509" s="136"/>
      <c r="P509" s="136"/>
      <c r="Q509" s="136"/>
      <c r="R509" s="136"/>
      <c r="S509" s="136"/>
      <c r="T509" s="136"/>
      <c r="U509" s="136"/>
      <c r="V509" s="136"/>
      <c r="W509" s="136"/>
      <c r="X509" s="136"/>
      <c r="Y509" s="136"/>
      <c r="Z509" s="136"/>
      <c r="AA509" s="136"/>
    </row>
    <row r="510" spans="3:27" ht="18.75" customHeight="1">
      <c r="C510" s="72"/>
      <c r="D510" s="72"/>
      <c r="E510" s="68"/>
      <c r="F510" s="68"/>
      <c r="G510" s="133"/>
      <c r="H510" s="218"/>
      <c r="I510" s="117" t="s">
        <v>141</v>
      </c>
      <c r="J510" s="118"/>
      <c r="K510" s="118"/>
      <c r="L510" s="230"/>
      <c r="M510" s="136"/>
      <c r="N510" s="136"/>
      <c r="O510" s="136"/>
      <c r="P510" s="136"/>
      <c r="Q510" s="136"/>
      <c r="R510" s="136"/>
      <c r="S510" s="136"/>
      <c r="T510" s="136"/>
      <c r="U510" s="136"/>
      <c r="V510" s="136"/>
      <c r="W510" s="136"/>
      <c r="X510" s="136"/>
      <c r="Y510" s="136"/>
      <c r="Z510" s="136"/>
      <c r="AA510" s="136"/>
    </row>
    <row r="511" spans="3:27" ht="18.75" customHeight="1">
      <c r="C511" s="72"/>
      <c r="D511" s="72"/>
      <c r="E511" s="68"/>
      <c r="F511" s="70"/>
      <c r="G511" s="123"/>
      <c r="H511" s="219"/>
      <c r="I511" s="119" t="s">
        <v>708</v>
      </c>
      <c r="J511" s="120"/>
      <c r="K511" s="121"/>
      <c r="L511" s="220"/>
      <c r="M511" s="136"/>
      <c r="N511" s="136"/>
      <c r="O511" s="136"/>
      <c r="P511" s="136"/>
      <c r="Q511" s="136"/>
      <c r="R511" s="136"/>
      <c r="S511" s="136"/>
      <c r="T511" s="136"/>
      <c r="U511" s="136"/>
      <c r="V511" s="136"/>
      <c r="W511" s="136"/>
      <c r="X511" s="136"/>
      <c r="Y511" s="136"/>
      <c r="Z511" s="136"/>
      <c r="AA511" s="136"/>
    </row>
    <row r="512" spans="3:27">
      <c r="C512" s="72"/>
      <c r="D512" s="72"/>
      <c r="E512" s="68"/>
      <c r="F512" s="67" t="s">
        <v>150</v>
      </c>
      <c r="G512" s="114"/>
      <c r="H512" s="114"/>
      <c r="I512" s="131"/>
      <c r="J512" s="131"/>
      <c r="K512" s="131"/>
      <c r="L512" s="132"/>
      <c r="M512" s="136"/>
      <c r="N512" s="136"/>
      <c r="O512" s="136"/>
      <c r="P512" s="136"/>
      <c r="Q512" s="136"/>
      <c r="R512" s="136"/>
      <c r="S512" s="136"/>
      <c r="T512" s="136"/>
      <c r="U512" s="136"/>
      <c r="V512" s="136"/>
      <c r="W512" s="136"/>
      <c r="X512" s="136"/>
      <c r="Y512" s="136"/>
      <c r="Z512" s="136"/>
      <c r="AA512" s="136"/>
    </row>
    <row r="513" spans="3:27" ht="18.75" customHeight="1">
      <c r="C513" s="72"/>
      <c r="D513" s="72"/>
      <c r="E513" s="68"/>
      <c r="F513" s="68"/>
      <c r="G513" s="133"/>
      <c r="H513" s="218"/>
      <c r="I513" s="116" t="s">
        <v>138</v>
      </c>
      <c r="J513" s="122"/>
      <c r="K513" s="122"/>
      <c r="L513" s="221"/>
      <c r="M513" s="136"/>
      <c r="N513" s="136"/>
      <c r="O513" s="136"/>
      <c r="P513" s="136"/>
      <c r="Q513" s="136"/>
      <c r="R513" s="136"/>
      <c r="S513" s="136"/>
      <c r="T513" s="136"/>
      <c r="U513" s="136"/>
      <c r="V513" s="136"/>
      <c r="W513" s="136"/>
      <c r="X513" s="136"/>
      <c r="Y513" s="136"/>
      <c r="Z513" s="136"/>
      <c r="AA513" s="136"/>
    </row>
    <row r="514" spans="3:27" ht="18.75" customHeight="1">
      <c r="C514" s="72"/>
      <c r="D514" s="72"/>
      <c r="E514" s="68"/>
      <c r="F514" s="68"/>
      <c r="G514" s="133"/>
      <c r="H514" s="218"/>
      <c r="I514" s="216" t="s">
        <v>139</v>
      </c>
      <c r="J514" s="217"/>
      <c r="K514" s="217"/>
      <c r="L514" s="222"/>
      <c r="M514" s="136"/>
      <c r="N514" s="136"/>
      <c r="O514" s="136"/>
      <c r="P514" s="136"/>
      <c r="Q514" s="136"/>
      <c r="R514" s="136"/>
      <c r="S514" s="136"/>
      <c r="T514" s="136"/>
      <c r="U514" s="136"/>
      <c r="V514" s="136"/>
      <c r="W514" s="136"/>
      <c r="X514" s="136"/>
      <c r="Y514" s="136"/>
      <c r="Z514" s="136"/>
      <c r="AA514" s="136"/>
    </row>
    <row r="515" spans="3:27" ht="18.75" customHeight="1">
      <c r="C515" s="72"/>
      <c r="D515" s="72"/>
      <c r="E515" s="68"/>
      <c r="F515" s="68"/>
      <c r="G515" s="133"/>
      <c r="H515" s="218"/>
      <c r="I515" s="216" t="s">
        <v>140</v>
      </c>
      <c r="J515" s="217"/>
      <c r="K515" s="217"/>
      <c r="L515" s="222"/>
      <c r="M515" s="136"/>
      <c r="N515" s="136"/>
      <c r="O515" s="136"/>
      <c r="P515" s="136"/>
      <c r="Q515" s="136"/>
      <c r="R515" s="136"/>
      <c r="S515" s="136"/>
      <c r="T515" s="136"/>
      <c r="U515" s="136"/>
      <c r="V515" s="136"/>
      <c r="W515" s="136"/>
      <c r="X515" s="136"/>
      <c r="Y515" s="136"/>
      <c r="Z515" s="136"/>
      <c r="AA515" s="136"/>
    </row>
    <row r="516" spans="3:27" ht="18.75" customHeight="1">
      <c r="C516" s="72"/>
      <c r="D516" s="72"/>
      <c r="E516" s="68"/>
      <c r="F516" s="68"/>
      <c r="G516" s="133"/>
      <c r="H516" s="218"/>
      <c r="I516" s="117" t="s">
        <v>141</v>
      </c>
      <c r="J516" s="118"/>
      <c r="K516" s="118"/>
      <c r="L516" s="230"/>
      <c r="M516" s="136"/>
      <c r="N516" s="136"/>
      <c r="O516" s="136"/>
      <c r="P516" s="136"/>
      <c r="Q516" s="136"/>
      <c r="R516" s="136"/>
      <c r="S516" s="136"/>
      <c r="T516" s="136"/>
      <c r="U516" s="136"/>
      <c r="V516" s="136"/>
      <c r="W516" s="136"/>
      <c r="X516" s="136"/>
      <c r="Y516" s="136"/>
      <c r="Z516" s="136"/>
      <c r="AA516" s="136"/>
    </row>
    <row r="517" spans="3:27" ht="18.75" customHeight="1">
      <c r="C517" s="72"/>
      <c r="D517" s="72"/>
      <c r="E517" s="68"/>
      <c r="F517" s="70"/>
      <c r="G517" s="123"/>
      <c r="H517" s="219"/>
      <c r="I517" s="119" t="s">
        <v>708</v>
      </c>
      <c r="J517" s="120"/>
      <c r="K517" s="121"/>
      <c r="L517" s="220"/>
      <c r="M517" s="136"/>
      <c r="N517" s="136"/>
      <c r="O517" s="136"/>
      <c r="P517" s="136"/>
      <c r="Q517" s="136"/>
      <c r="R517" s="136"/>
      <c r="S517" s="136"/>
      <c r="T517" s="136"/>
      <c r="U517" s="136"/>
      <c r="V517" s="136"/>
      <c r="W517" s="136"/>
      <c r="X517" s="136"/>
      <c r="Y517" s="136"/>
      <c r="Z517" s="136"/>
      <c r="AA517" s="136"/>
    </row>
    <row r="518" spans="3:27">
      <c r="C518" s="72"/>
      <c r="D518" s="72"/>
      <c r="E518" s="72"/>
      <c r="F518" s="67" t="s">
        <v>151</v>
      </c>
      <c r="G518" s="114"/>
      <c r="H518" s="114"/>
      <c r="I518" s="131"/>
      <c r="J518" s="131"/>
      <c r="K518" s="131"/>
      <c r="L518" s="132"/>
      <c r="M518" s="136"/>
      <c r="N518" s="136"/>
      <c r="O518" s="136"/>
      <c r="P518" s="136"/>
      <c r="Q518" s="136"/>
      <c r="R518" s="136"/>
      <c r="S518" s="136"/>
      <c r="T518" s="136"/>
      <c r="U518" s="136"/>
      <c r="V518" s="136"/>
      <c r="W518" s="136"/>
      <c r="X518" s="136"/>
      <c r="Y518" s="136"/>
      <c r="Z518" s="136"/>
      <c r="AA518" s="136"/>
    </row>
    <row r="519" spans="3:27" ht="18.75" customHeight="1">
      <c r="C519" s="72"/>
      <c r="D519" s="72"/>
      <c r="E519" s="68"/>
      <c r="F519" s="68"/>
      <c r="G519" s="133"/>
      <c r="H519" s="218"/>
      <c r="I519" s="116" t="s">
        <v>138</v>
      </c>
      <c r="J519" s="122"/>
      <c r="K519" s="122"/>
      <c r="L519" s="221"/>
      <c r="M519" s="136"/>
      <c r="N519" s="136"/>
      <c r="O519" s="136"/>
      <c r="P519" s="136"/>
      <c r="Q519" s="136"/>
      <c r="R519" s="136"/>
      <c r="S519" s="136"/>
      <c r="T519" s="136"/>
      <c r="U519" s="136"/>
      <c r="V519" s="136"/>
      <c r="W519" s="136"/>
      <c r="X519" s="136"/>
      <c r="Y519" s="136"/>
      <c r="Z519" s="136"/>
      <c r="AA519" s="136"/>
    </row>
    <row r="520" spans="3:27" ht="18.75" customHeight="1">
      <c r="C520" s="72"/>
      <c r="D520" s="72"/>
      <c r="E520" s="68"/>
      <c r="F520" s="68"/>
      <c r="G520" s="133"/>
      <c r="H520" s="218"/>
      <c r="I520" s="216" t="s">
        <v>139</v>
      </c>
      <c r="J520" s="217"/>
      <c r="K520" s="217"/>
      <c r="L520" s="222"/>
      <c r="M520" s="136"/>
      <c r="N520" s="136"/>
      <c r="O520" s="136"/>
      <c r="P520" s="136"/>
      <c r="Q520" s="136"/>
      <c r="R520" s="136"/>
      <c r="S520" s="136"/>
      <c r="T520" s="136"/>
      <c r="U520" s="136"/>
      <c r="V520" s="136"/>
      <c r="W520" s="136"/>
      <c r="X520" s="136"/>
      <c r="Y520" s="136"/>
      <c r="Z520" s="136"/>
      <c r="AA520" s="136"/>
    </row>
    <row r="521" spans="3:27" ht="18.75" customHeight="1">
      <c r="C521" s="72"/>
      <c r="D521" s="72"/>
      <c r="E521" s="68"/>
      <c r="F521" s="68"/>
      <c r="G521" s="133"/>
      <c r="H521" s="218"/>
      <c r="I521" s="216" t="s">
        <v>140</v>
      </c>
      <c r="J521" s="217"/>
      <c r="K521" s="217"/>
      <c r="L521" s="222"/>
      <c r="M521" s="136"/>
      <c r="N521" s="136"/>
      <c r="O521" s="136"/>
      <c r="P521" s="136"/>
      <c r="Q521" s="136"/>
      <c r="R521" s="136"/>
      <c r="S521" s="136"/>
      <c r="T521" s="136"/>
      <c r="U521" s="136"/>
      <c r="V521" s="136"/>
      <c r="W521" s="136"/>
      <c r="X521" s="136"/>
      <c r="Y521" s="136"/>
      <c r="Z521" s="136"/>
      <c r="AA521" s="136"/>
    </row>
    <row r="522" spans="3:27" ht="18.75" customHeight="1">
      <c r="C522" s="72"/>
      <c r="D522" s="72"/>
      <c r="E522" s="68"/>
      <c r="F522" s="68"/>
      <c r="G522" s="133"/>
      <c r="H522" s="218"/>
      <c r="I522" s="117" t="s">
        <v>141</v>
      </c>
      <c r="J522" s="118"/>
      <c r="K522" s="118"/>
      <c r="L522" s="230"/>
      <c r="M522" s="136"/>
      <c r="N522" s="136"/>
      <c r="O522" s="136"/>
      <c r="P522" s="136"/>
      <c r="Q522" s="136"/>
      <c r="R522" s="136"/>
      <c r="S522" s="136"/>
      <c r="T522" s="136"/>
      <c r="U522" s="136"/>
      <c r="V522" s="136"/>
      <c r="W522" s="136"/>
      <c r="X522" s="136"/>
      <c r="Y522" s="136"/>
      <c r="Z522" s="136"/>
      <c r="AA522" s="136"/>
    </row>
    <row r="523" spans="3:27" ht="18.75" customHeight="1">
      <c r="C523" s="72"/>
      <c r="D523" s="72"/>
      <c r="E523" s="68"/>
      <c r="F523" s="70"/>
      <c r="G523" s="123"/>
      <c r="H523" s="219"/>
      <c r="I523" s="119" t="s">
        <v>708</v>
      </c>
      <c r="J523" s="120"/>
      <c r="K523" s="121"/>
      <c r="L523" s="220"/>
      <c r="M523" s="136"/>
      <c r="N523" s="136"/>
      <c r="O523" s="136"/>
      <c r="P523" s="136"/>
      <c r="Q523" s="136"/>
      <c r="R523" s="136"/>
      <c r="S523" s="136"/>
      <c r="T523" s="136"/>
      <c r="U523" s="136"/>
      <c r="V523" s="136"/>
      <c r="W523" s="136"/>
      <c r="X523" s="136"/>
      <c r="Y523" s="136"/>
      <c r="Z523" s="136"/>
      <c r="AA523" s="136"/>
    </row>
    <row r="524" spans="3:27">
      <c r="C524" s="72"/>
      <c r="D524" s="72"/>
      <c r="E524" s="67" t="s">
        <v>152</v>
      </c>
      <c r="F524" s="133"/>
      <c r="G524" s="133"/>
      <c r="H524" s="133"/>
      <c r="I524" s="133"/>
      <c r="J524" s="133"/>
      <c r="K524" s="133"/>
      <c r="L524" s="218"/>
      <c r="M524" s="136"/>
      <c r="N524" s="136"/>
      <c r="O524" s="136"/>
      <c r="P524" s="136"/>
      <c r="Q524" s="136"/>
      <c r="R524" s="136"/>
      <c r="S524" s="136"/>
      <c r="T524" s="136"/>
      <c r="U524" s="136"/>
      <c r="V524" s="136"/>
      <c r="W524" s="136"/>
      <c r="X524" s="136"/>
      <c r="Y524" s="136"/>
      <c r="Z524" s="136"/>
      <c r="AA524" s="136"/>
    </row>
    <row r="525" spans="3:27">
      <c r="C525" s="72"/>
      <c r="D525" s="72"/>
      <c r="E525" s="133"/>
      <c r="F525" s="67" t="s">
        <v>142</v>
      </c>
      <c r="G525" s="114"/>
      <c r="H525" s="114"/>
      <c r="I525" s="114"/>
      <c r="J525" s="114"/>
      <c r="K525" s="114"/>
      <c r="L525" s="164"/>
      <c r="M525" s="136"/>
      <c r="N525" s="136"/>
      <c r="O525" s="136"/>
      <c r="P525" s="136"/>
      <c r="Q525" s="136"/>
      <c r="R525" s="136"/>
      <c r="S525" s="136"/>
      <c r="T525" s="136"/>
      <c r="U525" s="136"/>
      <c r="V525" s="136"/>
      <c r="W525" s="136"/>
      <c r="X525" s="136"/>
      <c r="Y525" s="136"/>
      <c r="Z525" s="136"/>
      <c r="AA525" s="136"/>
    </row>
    <row r="526" spans="3:27" ht="18.75" customHeight="1">
      <c r="C526" s="72"/>
      <c r="D526" s="72"/>
      <c r="E526" s="72"/>
      <c r="F526" s="68"/>
      <c r="G526" s="133"/>
      <c r="H526" s="218"/>
      <c r="I526" s="116" t="s">
        <v>138</v>
      </c>
      <c r="J526" s="122"/>
      <c r="K526" s="122"/>
      <c r="L526" s="221"/>
      <c r="M526" s="136"/>
      <c r="N526" s="136"/>
      <c r="O526" s="136"/>
      <c r="P526" s="136"/>
      <c r="Q526" s="136"/>
      <c r="R526" s="136"/>
      <c r="S526" s="136"/>
      <c r="T526" s="136"/>
      <c r="U526" s="136"/>
      <c r="V526" s="136"/>
      <c r="W526" s="136"/>
      <c r="X526" s="136"/>
      <c r="Y526" s="136"/>
      <c r="Z526" s="136"/>
      <c r="AA526" s="136"/>
    </row>
    <row r="527" spans="3:27" ht="18.75" customHeight="1">
      <c r="C527" s="72"/>
      <c r="D527" s="72"/>
      <c r="E527" s="68"/>
      <c r="F527" s="68"/>
      <c r="G527" s="133"/>
      <c r="H527" s="218"/>
      <c r="I527" s="216" t="s">
        <v>139</v>
      </c>
      <c r="J527" s="217"/>
      <c r="K527" s="217"/>
      <c r="L527" s="222"/>
      <c r="M527" s="136"/>
      <c r="N527" s="136"/>
      <c r="O527" s="136"/>
      <c r="P527" s="136"/>
      <c r="Q527" s="136"/>
      <c r="R527" s="136"/>
      <c r="S527" s="136"/>
      <c r="T527" s="136"/>
      <c r="U527" s="136"/>
      <c r="V527" s="136"/>
      <c r="W527" s="136"/>
      <c r="X527" s="136"/>
      <c r="Y527" s="136"/>
      <c r="Z527" s="136"/>
      <c r="AA527" s="136"/>
    </row>
    <row r="528" spans="3:27" ht="18.75" customHeight="1">
      <c r="C528" s="72"/>
      <c r="D528" s="72"/>
      <c r="E528" s="68"/>
      <c r="F528" s="68"/>
      <c r="G528" s="133"/>
      <c r="H528" s="218"/>
      <c r="I528" s="216" t="s">
        <v>140</v>
      </c>
      <c r="J528" s="217"/>
      <c r="K528" s="217"/>
      <c r="L528" s="222"/>
      <c r="M528" s="136"/>
      <c r="N528" s="136"/>
      <c r="O528" s="136"/>
      <c r="P528" s="136"/>
      <c r="Q528" s="136"/>
      <c r="R528" s="136"/>
      <c r="S528" s="136"/>
      <c r="T528" s="136"/>
      <c r="U528" s="136"/>
      <c r="V528" s="136"/>
      <c r="W528" s="136"/>
      <c r="X528" s="136"/>
      <c r="Y528" s="136"/>
      <c r="Z528" s="136"/>
      <c r="AA528" s="136"/>
    </row>
    <row r="529" spans="3:27" ht="18.75" customHeight="1">
      <c r="C529" s="72"/>
      <c r="D529" s="72"/>
      <c r="E529" s="68"/>
      <c r="F529" s="68"/>
      <c r="G529" s="133"/>
      <c r="H529" s="218"/>
      <c r="I529" s="117" t="s">
        <v>611</v>
      </c>
      <c r="J529" s="118"/>
      <c r="K529" s="118"/>
      <c r="L529" s="230"/>
      <c r="M529" s="136"/>
      <c r="N529" s="136"/>
      <c r="O529" s="136"/>
      <c r="P529" s="136"/>
      <c r="Q529" s="136"/>
      <c r="R529" s="136"/>
      <c r="S529" s="136"/>
      <c r="T529" s="136"/>
      <c r="U529" s="136"/>
      <c r="V529" s="136"/>
      <c r="W529" s="136"/>
      <c r="X529" s="136"/>
      <c r="Y529" s="136"/>
      <c r="Z529" s="136"/>
      <c r="AA529" s="136"/>
    </row>
    <row r="530" spans="3:27" ht="18.75" customHeight="1">
      <c r="C530" s="72"/>
      <c r="D530" s="72"/>
      <c r="E530" s="70"/>
      <c r="F530" s="70"/>
      <c r="G530" s="123"/>
      <c r="H530" s="219"/>
      <c r="I530" s="119" t="s">
        <v>708</v>
      </c>
      <c r="J530" s="120"/>
      <c r="K530" s="121"/>
      <c r="L530" s="220"/>
      <c r="M530" s="136"/>
      <c r="N530" s="136"/>
      <c r="O530" s="136"/>
      <c r="P530" s="136"/>
      <c r="Q530" s="136"/>
      <c r="R530" s="136"/>
      <c r="S530" s="136"/>
      <c r="T530" s="136"/>
      <c r="U530" s="136"/>
      <c r="V530" s="136"/>
      <c r="W530" s="136"/>
      <c r="X530" s="136"/>
      <c r="Y530" s="136"/>
      <c r="Z530" s="136"/>
      <c r="AA530" s="136"/>
    </row>
    <row r="531" spans="3:27">
      <c r="C531" s="67" t="s">
        <v>773</v>
      </c>
      <c r="D531" s="114"/>
      <c r="E531" s="114"/>
      <c r="F531" s="114"/>
      <c r="G531" s="114"/>
      <c r="H531" s="114"/>
      <c r="I531" s="114"/>
      <c r="J531" s="114"/>
      <c r="K531" s="114"/>
      <c r="L531" s="175"/>
      <c r="M531" s="136"/>
      <c r="N531" s="136"/>
      <c r="O531" s="136"/>
      <c r="P531" s="136"/>
      <c r="Q531" s="136"/>
      <c r="R531" s="136"/>
      <c r="S531" s="136"/>
      <c r="T531" s="136"/>
      <c r="U531" s="136"/>
      <c r="V531" s="136"/>
      <c r="W531" s="136"/>
      <c r="X531" s="136"/>
      <c r="Y531" s="136"/>
      <c r="Z531" s="136"/>
      <c r="AA531" s="136"/>
    </row>
    <row r="532" spans="3:27">
      <c r="C532" s="72"/>
      <c r="D532" s="67" t="s">
        <v>783</v>
      </c>
      <c r="E532" s="58"/>
      <c r="F532" s="58"/>
      <c r="G532" s="58"/>
      <c r="H532" s="58"/>
      <c r="I532" s="58"/>
      <c r="J532" s="58"/>
      <c r="K532" s="114"/>
      <c r="L532" s="175"/>
      <c r="M532" s="136"/>
      <c r="N532" s="136"/>
      <c r="O532" s="136"/>
      <c r="P532" s="136"/>
      <c r="Q532" s="136"/>
      <c r="R532" s="136"/>
      <c r="S532" s="136"/>
      <c r="T532" s="136"/>
      <c r="U532" s="136"/>
      <c r="V532" s="136"/>
      <c r="W532" s="136"/>
      <c r="X532" s="136"/>
      <c r="Y532" s="136"/>
      <c r="Z532" s="136"/>
      <c r="AA532" s="136"/>
    </row>
    <row r="533" spans="3:27">
      <c r="C533" s="72"/>
      <c r="D533" s="72"/>
      <c r="E533" s="65" t="s">
        <v>774</v>
      </c>
      <c r="F533" s="114"/>
      <c r="G533" s="114"/>
      <c r="H533" s="114"/>
      <c r="I533" s="114"/>
      <c r="J533" s="114"/>
      <c r="K533" s="60"/>
      <c r="L533" s="227" t="str">
        <f>"StatusCheckFailed_System"</f>
        <v>StatusCheckFailed_System</v>
      </c>
      <c r="M533" s="136"/>
      <c r="N533" s="136"/>
      <c r="O533" s="136"/>
      <c r="P533" s="136"/>
      <c r="Q533" s="136"/>
      <c r="R533" s="136"/>
      <c r="S533" s="136"/>
      <c r="T533" s="136"/>
      <c r="U533" s="136"/>
      <c r="V533" s="136"/>
      <c r="W533" s="136"/>
      <c r="X533" s="136"/>
      <c r="Y533" s="136"/>
      <c r="Z533" s="136"/>
      <c r="AA533" s="136"/>
    </row>
    <row r="534" spans="3:27">
      <c r="C534" s="72"/>
      <c r="D534" s="72"/>
      <c r="E534" s="67" t="s">
        <v>775</v>
      </c>
      <c r="F534" s="114"/>
      <c r="G534" s="114"/>
      <c r="H534" s="114"/>
      <c r="I534" s="114"/>
      <c r="J534" s="114"/>
      <c r="K534" s="60"/>
      <c r="L534" s="227">
        <f>L289</f>
        <v>0</v>
      </c>
      <c r="M534" s="136"/>
      <c r="N534" s="136"/>
      <c r="O534" s="136"/>
      <c r="P534" s="136"/>
      <c r="Q534" s="136"/>
      <c r="R534" s="136"/>
      <c r="S534" s="136"/>
      <c r="T534" s="136"/>
      <c r="U534" s="136"/>
      <c r="V534" s="136"/>
      <c r="W534" s="136"/>
      <c r="X534" s="136"/>
      <c r="Y534" s="136"/>
      <c r="Z534" s="136"/>
      <c r="AA534" s="136"/>
    </row>
    <row r="535" spans="3:27">
      <c r="C535" s="72"/>
      <c r="D535" s="72"/>
      <c r="E535" s="67" t="s">
        <v>776</v>
      </c>
      <c r="F535" s="114"/>
      <c r="G535" s="114"/>
      <c r="H535" s="114"/>
      <c r="I535" s="114"/>
      <c r="J535" s="114"/>
      <c r="K535" s="60"/>
      <c r="L535" s="227" t="str">
        <f>"最小"</f>
        <v>最小</v>
      </c>
      <c r="M535" s="136"/>
      <c r="N535" s="136"/>
      <c r="O535" s="136"/>
      <c r="P535" s="136"/>
      <c r="Q535" s="136"/>
      <c r="R535" s="136"/>
      <c r="S535" s="136"/>
      <c r="T535" s="136"/>
      <c r="U535" s="136"/>
      <c r="V535" s="136"/>
      <c r="W535" s="136"/>
      <c r="X535" s="136"/>
      <c r="Y535" s="136"/>
      <c r="Z535" s="136"/>
      <c r="AA535" s="136"/>
    </row>
    <row r="536" spans="3:27">
      <c r="C536" s="72"/>
      <c r="D536" s="72"/>
      <c r="E536" s="67" t="s">
        <v>777</v>
      </c>
      <c r="F536" s="114"/>
      <c r="G536" s="114"/>
      <c r="H536" s="114"/>
      <c r="I536" s="114"/>
      <c r="J536" s="114"/>
      <c r="K536" s="60"/>
      <c r="L536" s="227" t="str">
        <f>"1 分"</f>
        <v>1 分</v>
      </c>
      <c r="M536" s="136"/>
      <c r="N536" s="136"/>
      <c r="O536" s="136"/>
      <c r="P536" s="136"/>
      <c r="Q536" s="136"/>
      <c r="R536" s="136"/>
      <c r="S536" s="136"/>
      <c r="T536" s="136"/>
      <c r="U536" s="136"/>
      <c r="V536" s="136"/>
      <c r="W536" s="136"/>
      <c r="X536" s="136"/>
      <c r="Y536" s="136"/>
      <c r="Z536" s="136"/>
      <c r="AA536" s="136"/>
    </row>
    <row r="537" spans="3:27">
      <c r="C537" s="72"/>
      <c r="D537" s="72"/>
      <c r="E537" s="67" t="s">
        <v>780</v>
      </c>
      <c r="F537" s="114"/>
      <c r="G537" s="114"/>
      <c r="H537" s="114"/>
      <c r="I537" s="114"/>
      <c r="J537" s="114"/>
      <c r="K537" s="60"/>
      <c r="L537" s="227" t="str">
        <f>"静的"</f>
        <v>静的</v>
      </c>
      <c r="M537" s="136"/>
      <c r="N537" s="136"/>
      <c r="O537" s="136"/>
      <c r="P537" s="136"/>
      <c r="Q537" s="136"/>
      <c r="R537" s="136"/>
      <c r="S537" s="136"/>
      <c r="T537" s="136"/>
      <c r="U537" s="136"/>
      <c r="V537" s="136"/>
      <c r="W537" s="136"/>
      <c r="X537" s="136"/>
      <c r="Y537" s="136"/>
      <c r="Z537" s="136"/>
      <c r="AA537" s="136"/>
    </row>
    <row r="538" spans="3:27">
      <c r="C538" s="72"/>
      <c r="D538" s="72"/>
      <c r="E538" s="67" t="s">
        <v>779</v>
      </c>
      <c r="F538" s="114"/>
      <c r="G538" s="114"/>
      <c r="H538" s="114"/>
      <c r="I538" s="114"/>
      <c r="J538" s="114"/>
      <c r="K538" s="60"/>
      <c r="L538" s="227" t="str">
        <f>"より大きい"</f>
        <v>より大きい</v>
      </c>
      <c r="M538" s="136"/>
      <c r="N538" s="136"/>
      <c r="O538" s="136"/>
      <c r="P538" s="136"/>
      <c r="Q538" s="136"/>
      <c r="R538" s="136"/>
      <c r="S538" s="136"/>
      <c r="T538" s="136"/>
      <c r="U538" s="136"/>
      <c r="V538" s="136"/>
      <c r="W538" s="136"/>
      <c r="X538" s="136"/>
      <c r="Y538" s="136"/>
      <c r="Z538" s="136"/>
      <c r="AA538" s="136"/>
    </row>
    <row r="539" spans="3:27">
      <c r="C539" s="72"/>
      <c r="D539" s="72"/>
      <c r="E539" s="67" t="s">
        <v>778</v>
      </c>
      <c r="F539" s="114"/>
      <c r="G539" s="114"/>
      <c r="H539" s="114"/>
      <c r="I539" s="114"/>
      <c r="J539" s="114"/>
      <c r="K539" s="60"/>
      <c r="L539" s="227" t="str">
        <f>"0"</f>
        <v>0</v>
      </c>
      <c r="M539" s="136"/>
      <c r="N539" s="136"/>
      <c r="O539" s="136"/>
      <c r="P539" s="136"/>
      <c r="Q539" s="136"/>
      <c r="R539" s="136"/>
      <c r="S539" s="136"/>
      <c r="T539" s="136"/>
      <c r="U539" s="136"/>
      <c r="V539" s="136"/>
      <c r="W539" s="136"/>
      <c r="X539" s="136"/>
      <c r="Y539" s="136"/>
      <c r="Z539" s="136"/>
      <c r="AA539" s="136"/>
    </row>
    <row r="540" spans="3:27">
      <c r="C540" s="72"/>
      <c r="D540" s="72"/>
      <c r="E540" s="67" t="s">
        <v>781</v>
      </c>
      <c r="F540" s="114"/>
      <c r="G540" s="114"/>
      <c r="H540" s="114"/>
      <c r="I540" s="114"/>
      <c r="J540" s="114"/>
      <c r="K540" s="60"/>
      <c r="L540" s="252" t="s">
        <v>791</v>
      </c>
      <c r="M540" s="136"/>
      <c r="N540" s="136"/>
      <c r="O540" s="136"/>
      <c r="P540" s="136"/>
      <c r="Q540" s="136"/>
      <c r="R540" s="136"/>
      <c r="S540" s="136"/>
      <c r="T540" s="136"/>
      <c r="U540" s="136"/>
      <c r="V540" s="136"/>
      <c r="W540" s="136"/>
      <c r="X540" s="136"/>
      <c r="Y540" s="136"/>
      <c r="Z540" s="136"/>
      <c r="AA540" s="136"/>
    </row>
    <row r="541" spans="3:27">
      <c r="C541" s="72"/>
      <c r="D541" s="73"/>
      <c r="E541" s="67" t="s">
        <v>782</v>
      </c>
      <c r="F541" s="114"/>
      <c r="G541" s="114"/>
      <c r="H541" s="114"/>
      <c r="I541" s="114"/>
      <c r="J541" s="114"/>
      <c r="K541" s="60"/>
      <c r="L541" s="227" t="s">
        <v>792</v>
      </c>
      <c r="M541" s="136"/>
      <c r="N541" s="136"/>
      <c r="O541" s="136"/>
      <c r="P541" s="136"/>
      <c r="Q541" s="136"/>
      <c r="R541" s="136"/>
      <c r="S541" s="136"/>
      <c r="T541" s="136"/>
      <c r="U541" s="136"/>
      <c r="V541" s="136"/>
      <c r="W541" s="136"/>
      <c r="X541" s="136"/>
      <c r="Y541" s="136"/>
      <c r="Z541" s="136"/>
      <c r="AA541" s="136"/>
    </row>
    <row r="542" spans="3:27">
      <c r="C542" s="72"/>
      <c r="D542" s="67" t="s">
        <v>784</v>
      </c>
      <c r="E542" s="58"/>
      <c r="F542" s="58"/>
      <c r="G542" s="58"/>
      <c r="H542" s="58"/>
      <c r="I542" s="58"/>
      <c r="J542" s="58"/>
      <c r="K542" s="114"/>
      <c r="L542" s="175"/>
      <c r="M542" s="136"/>
      <c r="N542" s="136"/>
      <c r="O542" s="136"/>
      <c r="P542" s="136"/>
      <c r="Q542" s="136"/>
      <c r="R542" s="136"/>
      <c r="S542" s="136"/>
      <c r="T542" s="136"/>
      <c r="U542" s="136"/>
      <c r="V542" s="136"/>
      <c r="W542" s="136"/>
      <c r="X542" s="136"/>
      <c r="Y542" s="136"/>
      <c r="Z542" s="136"/>
      <c r="AA542" s="136"/>
    </row>
    <row r="543" spans="3:27">
      <c r="C543" s="72"/>
      <c r="D543" s="68"/>
      <c r="E543" s="67" t="s">
        <v>785</v>
      </c>
      <c r="F543" s="114"/>
      <c r="G543" s="114"/>
      <c r="H543" s="114"/>
      <c r="I543" s="114"/>
      <c r="J543" s="114"/>
      <c r="K543" s="114"/>
      <c r="L543" s="175"/>
      <c r="M543" s="136"/>
      <c r="N543" s="136"/>
      <c r="O543" s="136"/>
      <c r="P543" s="136"/>
      <c r="Q543" s="136"/>
      <c r="R543" s="136"/>
      <c r="S543" s="136"/>
      <c r="T543" s="136"/>
      <c r="U543" s="136"/>
      <c r="V543" s="136"/>
      <c r="W543" s="136"/>
      <c r="X543" s="136"/>
      <c r="Y543" s="136"/>
      <c r="Z543" s="136"/>
      <c r="AA543" s="136"/>
    </row>
    <row r="544" spans="3:27">
      <c r="C544" s="72"/>
      <c r="D544" s="68"/>
      <c r="E544" s="72"/>
      <c r="F544" s="114" t="s">
        <v>786</v>
      </c>
      <c r="G544" s="114"/>
      <c r="H544" s="114"/>
      <c r="I544" s="114"/>
      <c r="J544" s="114"/>
      <c r="K544" s="60"/>
      <c r="L544" s="227" t="str">
        <f>"アラーム状態"</f>
        <v>アラーム状態</v>
      </c>
      <c r="M544" s="136"/>
      <c r="N544" s="136"/>
      <c r="O544" s="136"/>
      <c r="P544" s="136"/>
      <c r="Q544" s="136"/>
      <c r="R544" s="136"/>
      <c r="S544" s="136"/>
      <c r="T544" s="136"/>
      <c r="U544" s="136"/>
      <c r="V544" s="136"/>
      <c r="W544" s="136"/>
      <c r="X544" s="136"/>
      <c r="Y544" s="136"/>
      <c r="Z544" s="136"/>
      <c r="AA544" s="136"/>
    </row>
    <row r="545" spans="3:27">
      <c r="C545" s="72"/>
      <c r="D545" s="68"/>
      <c r="E545" s="72"/>
      <c r="F545" s="114" t="s">
        <v>787</v>
      </c>
      <c r="G545" s="114"/>
      <c r="H545" s="114"/>
      <c r="I545" s="114"/>
      <c r="J545" s="114"/>
      <c r="K545" s="60"/>
      <c r="L545" s="227" t="str">
        <f>"このインスタンスを復旧"</f>
        <v>このインスタンスを復旧</v>
      </c>
      <c r="M545" s="136"/>
      <c r="N545" s="136"/>
      <c r="O545" s="136"/>
      <c r="P545" s="136"/>
      <c r="Q545" s="136"/>
      <c r="R545" s="136"/>
      <c r="S545" s="136"/>
      <c r="T545" s="136"/>
      <c r="U545" s="136"/>
      <c r="V545" s="136"/>
      <c r="W545" s="136"/>
      <c r="X545" s="136"/>
      <c r="Y545" s="136"/>
      <c r="Z545" s="136"/>
      <c r="AA545" s="136"/>
    </row>
    <row r="546" spans="3:27">
      <c r="C546" s="72"/>
      <c r="D546" s="67" t="s">
        <v>788</v>
      </c>
      <c r="E546" s="114"/>
      <c r="F546" s="114"/>
      <c r="G546" s="114"/>
      <c r="H546" s="114"/>
      <c r="I546" s="114"/>
      <c r="J546" s="114"/>
      <c r="K546" s="114"/>
      <c r="L546" s="175"/>
      <c r="M546" s="136"/>
      <c r="N546" s="136"/>
      <c r="O546" s="136"/>
      <c r="P546" s="136"/>
      <c r="Q546" s="136"/>
      <c r="R546" s="136"/>
      <c r="S546" s="136"/>
      <c r="T546" s="136"/>
      <c r="U546" s="136"/>
      <c r="V546" s="136"/>
      <c r="W546" s="136"/>
      <c r="X546" s="136"/>
      <c r="Y546" s="136"/>
      <c r="Z546" s="136"/>
      <c r="AA546" s="136"/>
    </row>
    <row r="547" spans="3:27">
      <c r="C547" s="72"/>
      <c r="D547" s="68"/>
      <c r="E547" s="67" t="s">
        <v>789</v>
      </c>
      <c r="F547" s="114"/>
      <c r="G547" s="114"/>
      <c r="H547" s="114"/>
      <c r="I547" s="114"/>
      <c r="J547" s="114"/>
      <c r="K547" s="60"/>
      <c r="L547" s="227" t="str">
        <f ca="1">IF(LEFT(L227,1)="※",L227,"ec2-"&amp;L227&amp;"-"&amp;L533&amp;"-Recover")</f>
        <v>※ランドスケープを選択してください。(セル：L11)</v>
      </c>
      <c r="M547" s="136"/>
      <c r="N547" s="136"/>
      <c r="O547" s="136"/>
      <c r="P547" s="136"/>
      <c r="Q547" s="136"/>
      <c r="R547" s="136"/>
      <c r="S547" s="136"/>
      <c r="T547" s="136"/>
      <c r="U547" s="136"/>
      <c r="V547" s="136"/>
      <c r="W547" s="136"/>
      <c r="X547" s="136"/>
      <c r="Y547" s="136"/>
      <c r="Z547" s="136"/>
      <c r="AA547" s="136"/>
    </row>
    <row r="548" spans="3:27">
      <c r="C548" s="72"/>
      <c r="D548" s="68"/>
      <c r="E548" s="65" t="s">
        <v>790</v>
      </c>
      <c r="F548" s="58"/>
      <c r="G548" s="114"/>
      <c r="H548" s="114"/>
      <c r="I548" s="114"/>
      <c r="J548" s="114"/>
      <c r="K548" s="60"/>
      <c r="L548" s="227" t="str">
        <f ca="1">L547</f>
        <v>※ランドスケープを選択してください。(セル：L11)</v>
      </c>
      <c r="M548" s="136"/>
      <c r="N548" s="136"/>
      <c r="O548" s="136"/>
      <c r="P548" s="136"/>
      <c r="Q548" s="136"/>
      <c r="R548" s="136"/>
      <c r="S548" s="136"/>
      <c r="T548" s="136"/>
      <c r="U548" s="136"/>
      <c r="V548" s="136"/>
      <c r="W548" s="136"/>
      <c r="X548" s="136"/>
      <c r="Y548" s="136"/>
      <c r="Z548" s="136"/>
      <c r="AA548" s="136"/>
    </row>
    <row r="549" spans="3:27">
      <c r="C549" s="65" t="s">
        <v>28</v>
      </c>
      <c r="D549" s="58"/>
      <c r="E549" s="58"/>
      <c r="F549" s="58"/>
      <c r="G549" s="58"/>
      <c r="H549" s="58"/>
      <c r="I549" s="58"/>
      <c r="J549" s="58"/>
      <c r="K549" s="58"/>
      <c r="L549" s="228" t="s">
        <v>154</v>
      </c>
      <c r="M549" s="136"/>
      <c r="N549" s="136"/>
      <c r="O549" s="136"/>
      <c r="P549" s="136"/>
      <c r="Q549" s="136"/>
      <c r="R549" s="136"/>
      <c r="S549" s="136"/>
      <c r="T549" s="136"/>
      <c r="U549" s="136"/>
      <c r="V549" s="136"/>
      <c r="W549" s="136"/>
      <c r="X549" s="136"/>
      <c r="Y549" s="136"/>
      <c r="Z549" s="136"/>
      <c r="AA549" s="136"/>
    </row>
    <row r="550" spans="3:27">
      <c r="C550" s="65" t="s">
        <v>30</v>
      </c>
      <c r="D550" s="58"/>
      <c r="E550" s="58"/>
      <c r="F550" s="58"/>
      <c r="G550" s="58"/>
      <c r="H550" s="58"/>
      <c r="I550" s="58"/>
      <c r="J550" s="58"/>
      <c r="K550" s="58"/>
      <c r="L550" s="228" t="s">
        <v>29</v>
      </c>
      <c r="M550" s="136"/>
      <c r="N550" s="136"/>
      <c r="O550" s="136"/>
      <c r="P550" s="136"/>
      <c r="Q550" s="136"/>
      <c r="R550" s="136"/>
      <c r="S550" s="136"/>
      <c r="T550" s="136"/>
      <c r="U550" s="136"/>
      <c r="V550" s="136"/>
      <c r="W550" s="136"/>
      <c r="X550" s="136"/>
      <c r="Y550" s="136"/>
      <c r="Z550" s="136"/>
      <c r="AA550" s="136"/>
    </row>
    <row r="551" spans="3:27">
      <c r="C551" s="65" t="s">
        <v>31</v>
      </c>
      <c r="D551" s="58"/>
      <c r="E551" s="58"/>
      <c r="F551" s="58"/>
      <c r="G551" s="58"/>
      <c r="H551" s="58"/>
      <c r="I551" s="58"/>
      <c r="J551" s="58"/>
      <c r="K551" s="58"/>
      <c r="L551" s="228" t="s">
        <v>32</v>
      </c>
      <c r="M551" s="136"/>
      <c r="N551" s="136"/>
      <c r="O551" s="136"/>
      <c r="P551" s="136"/>
      <c r="Q551" s="136"/>
      <c r="R551" s="136"/>
      <c r="S551" s="136"/>
      <c r="T551" s="136"/>
      <c r="U551" s="136"/>
      <c r="V551" s="136"/>
      <c r="W551" s="136"/>
      <c r="X551" s="136"/>
      <c r="Y551" s="136"/>
      <c r="Z551" s="136"/>
      <c r="AA551" s="136"/>
    </row>
    <row r="552" spans="3:27">
      <c r="C552" s="65" t="s">
        <v>92</v>
      </c>
      <c r="D552" s="58"/>
      <c r="E552" s="58"/>
      <c r="F552" s="58"/>
      <c r="G552" s="58"/>
      <c r="H552" s="58"/>
      <c r="I552" s="58"/>
      <c r="J552" s="58"/>
      <c r="K552" s="58"/>
      <c r="L552" s="228" t="s">
        <v>1171</v>
      </c>
      <c r="M552" s="136"/>
      <c r="N552" s="136"/>
      <c r="O552" s="136"/>
      <c r="P552" s="136"/>
      <c r="Q552" s="136"/>
      <c r="R552" s="136"/>
      <c r="S552" s="136"/>
      <c r="T552" s="136"/>
      <c r="U552" s="136"/>
      <c r="V552" s="136"/>
      <c r="W552" s="136"/>
      <c r="X552" s="136"/>
      <c r="Y552" s="136"/>
      <c r="Z552" s="136"/>
      <c r="AA552" s="136"/>
    </row>
    <row r="553" spans="3:27">
      <c r="C553" s="65" t="s">
        <v>94</v>
      </c>
      <c r="D553" s="58"/>
      <c r="E553" s="58"/>
      <c r="F553" s="58"/>
      <c r="G553" s="58"/>
      <c r="H553" s="58"/>
      <c r="I553" s="58"/>
      <c r="J553" s="58"/>
      <c r="K553" s="58"/>
      <c r="L553" s="228" t="s">
        <v>1172</v>
      </c>
      <c r="M553" s="136"/>
      <c r="N553" s="136"/>
      <c r="O553" s="136"/>
      <c r="P553" s="136"/>
      <c r="Q553" s="136"/>
      <c r="R553" s="136"/>
      <c r="S553" s="136"/>
      <c r="T553" s="136"/>
      <c r="U553" s="136"/>
      <c r="V553" s="136"/>
      <c r="W553" s="136"/>
      <c r="X553" s="136"/>
      <c r="Y553" s="136"/>
      <c r="Z553" s="136"/>
      <c r="AA553" s="136"/>
    </row>
    <row r="554" spans="3:27">
      <c r="C554" s="65" t="s">
        <v>99</v>
      </c>
      <c r="D554" s="58"/>
      <c r="E554" s="58"/>
      <c r="F554" s="58"/>
      <c r="G554" s="58"/>
      <c r="H554" s="58"/>
      <c r="I554" s="58"/>
      <c r="J554" s="58"/>
      <c r="K554" s="58"/>
      <c r="L554" s="210">
        <f>L29</f>
        <v>0</v>
      </c>
      <c r="M554" s="136"/>
      <c r="N554" s="136"/>
      <c r="O554" s="136"/>
      <c r="P554" s="136"/>
      <c r="Q554" s="136"/>
      <c r="R554" s="136"/>
      <c r="S554" s="136"/>
      <c r="T554" s="136"/>
      <c r="U554" s="136"/>
      <c r="V554" s="136"/>
      <c r="W554" s="136"/>
      <c r="X554" s="136"/>
      <c r="Y554" s="136"/>
      <c r="Z554" s="136"/>
      <c r="AA554" s="136"/>
    </row>
    <row r="555" spans="3:27">
      <c r="M555" s="136"/>
      <c r="N555" s="136"/>
      <c r="O555" s="136"/>
      <c r="P555" s="136"/>
      <c r="Q555" s="136"/>
      <c r="R555" s="136"/>
      <c r="S555" s="136"/>
      <c r="T555" s="136"/>
      <c r="U555" s="136"/>
      <c r="V555" s="136"/>
      <c r="W555" s="136"/>
      <c r="X555" s="136"/>
      <c r="Y555" s="136"/>
      <c r="Z555" s="136"/>
      <c r="AA555" s="136"/>
    </row>
  </sheetData>
  <protectedRanges>
    <protectedRange sqref="L19:L24" name="範囲1"/>
    <protectedRange sqref="L26:L27" name="範囲1_2_1"/>
    <protectedRange sqref="L28" name="範囲1_1"/>
  </protectedRanges>
  <phoneticPr fontId="1"/>
  <conditionalFormatting sqref="L38:L41">
    <cfRule type="expression" dxfId="31" priority="11">
      <formula>$L$37=""</formula>
    </cfRule>
  </conditionalFormatting>
  <conditionalFormatting sqref="L44:L47">
    <cfRule type="expression" dxfId="30" priority="12">
      <formula>$L$43=""</formula>
    </cfRule>
  </conditionalFormatting>
  <conditionalFormatting sqref="L50:L53">
    <cfRule type="expression" dxfId="29" priority="1">
      <formula>$L$49=""</formula>
    </cfRule>
  </conditionalFormatting>
  <conditionalFormatting sqref="L56:L59 L172:L179">
    <cfRule type="expression" dxfId="28" priority="74">
      <formula>$L$55=""</formula>
    </cfRule>
  </conditionalFormatting>
  <conditionalFormatting sqref="L62:L65 L181:L188">
    <cfRule type="expression" dxfId="27" priority="64">
      <formula>$L$61=""</formula>
    </cfRule>
  </conditionalFormatting>
  <conditionalFormatting sqref="L68:L71 L190:L197">
    <cfRule type="expression" dxfId="26" priority="63">
      <formula>$L$67=""</formula>
    </cfRule>
  </conditionalFormatting>
  <conditionalFormatting sqref="L74:L77 L199:L206">
    <cfRule type="expression" dxfId="25" priority="68">
      <formula>$L$73=""</formula>
    </cfRule>
  </conditionalFormatting>
  <conditionalFormatting sqref="L80:L83 L208:L215">
    <cfRule type="expression" dxfId="24" priority="70">
      <formula>$L$79=""</formula>
    </cfRule>
  </conditionalFormatting>
  <conditionalFormatting sqref="L86:L89 L217:L224">
    <cfRule type="expression" dxfId="23" priority="69">
      <formula>$L$85=""</formula>
    </cfRule>
  </conditionalFormatting>
  <conditionalFormatting sqref="L145:L152">
    <cfRule type="expression" dxfId="22" priority="71">
      <formula>$L$37=""</formula>
    </cfRule>
  </conditionalFormatting>
  <conditionalFormatting sqref="L154:L161">
    <cfRule type="expression" dxfId="21" priority="72">
      <formula>$L$43=""</formula>
    </cfRule>
  </conditionalFormatting>
  <conditionalFormatting sqref="L163:L170">
    <cfRule type="expression" dxfId="20" priority="65">
      <formula>$L$49=""</formula>
    </cfRule>
  </conditionalFormatting>
  <conditionalFormatting sqref="L285">
    <cfRule type="expression" dxfId="19" priority="10">
      <formula>$L$284="既存のキーペアの選択"</formula>
    </cfRule>
  </conditionalFormatting>
  <conditionalFormatting sqref="L296">
    <cfRule type="expression" dxfId="18" priority="23">
      <formula>$L$14&lt;&gt;"あり"</formula>
    </cfRule>
  </conditionalFormatting>
  <conditionalFormatting sqref="L314:L327">
    <cfRule type="expression" dxfId="17" priority="13">
      <formula>$L$314=""</formula>
    </cfRule>
  </conditionalFormatting>
  <conditionalFormatting sqref="L329:L342">
    <cfRule type="expression" dxfId="16" priority="14">
      <formula>$L$329=""</formula>
    </cfRule>
  </conditionalFormatting>
  <conditionalFormatting sqref="L344:L357">
    <cfRule type="expression" dxfId="15" priority="15">
      <formula>$L$344=""</formula>
    </cfRule>
  </conditionalFormatting>
  <conditionalFormatting sqref="L359:L372">
    <cfRule type="expression" dxfId="14" priority="16">
      <formula>$L$359=""</formula>
    </cfRule>
  </conditionalFormatting>
  <conditionalFormatting sqref="L374:L387">
    <cfRule type="expression" dxfId="13" priority="17">
      <formula>$L$374=""</formula>
    </cfRule>
  </conditionalFormatting>
  <conditionalFormatting sqref="L389:L402">
    <cfRule type="expression" dxfId="12" priority="18">
      <formula>$L$389=""</formula>
    </cfRule>
  </conditionalFormatting>
  <conditionalFormatting sqref="L404:L417">
    <cfRule type="expression" dxfId="11" priority="19">
      <formula>$L$404=""</formula>
    </cfRule>
  </conditionalFormatting>
  <conditionalFormatting sqref="L419:L432">
    <cfRule type="expression" dxfId="10" priority="20">
      <formula>$L$419=""</formula>
    </cfRule>
  </conditionalFormatting>
  <conditionalFormatting sqref="L434:L447">
    <cfRule type="expression" dxfId="9" priority="21">
      <formula>$L$434=""</formula>
    </cfRule>
  </conditionalFormatting>
  <dataValidations count="17">
    <dataValidation type="textLength" operator="lessThanOrEqual" allowBlank="1" showInputMessage="1" showErrorMessage="1" sqref="L19" xr:uid="{F52EDCDD-2FAC-40CF-B682-B7A8C2DA9142}">
      <formula1>3</formula1>
    </dataValidation>
    <dataValidation type="list" allowBlank="1" showInputMessage="1" sqref="L31" xr:uid="{F333E4B2-A1EF-4B71-8D4B-18ADB77FE202}">
      <formula1>"C"</formula1>
    </dataValidation>
    <dataValidation type="list" allowBlank="1" showInputMessage="1" sqref="L17" xr:uid="{9091EC21-3896-424D-B312-5DF0117A2E2C}">
      <formula1>INDIRECT("OS_Windows[OS]")</formula1>
    </dataValidation>
    <dataValidation type="list" allowBlank="1" showInputMessage="1" sqref="L103" xr:uid="{9F8644F5-F876-4ECF-8C4A-EFBA21B43832}">
      <formula1>INDIRECT("インスタンスタイプ[表示]")</formula1>
    </dataValidation>
    <dataValidation type="list" allowBlank="1" showInputMessage="1" sqref="L23" xr:uid="{B64ADC02-24F5-43D9-BA79-A3D6649B6B7A}">
      <formula1>INDIRECT("サーバ種類[サーバ種類]")</formula1>
    </dataValidation>
    <dataValidation type="list" allowBlank="1" showInputMessage="1" sqref="L21" xr:uid="{06320564-7D93-4495-85BE-C5630134105F}">
      <formula1>INDIRECT("会社コード[会社コード]")</formula1>
    </dataValidation>
    <dataValidation type="list" allowBlank="1" showInputMessage="1" sqref="L11" xr:uid="{62EF7C90-70F0-4697-B689-9FB19E5E8D35}">
      <formula1>INDIRECT("ランドスケープ[名前]")</formula1>
    </dataValidation>
    <dataValidation type="list" allowBlank="1" showInputMessage="1" sqref="L61 L85 L49 L79 L37 L73 L43 L55 L67" xr:uid="{263735D1-A8A8-4E07-A985-AC3E750FB986}">
      <formula1>"D,E,F,G,H,I,J,K,L,M,N,O,P,Q,R,S,T,U,V,W"</formula1>
    </dataValidation>
    <dataValidation allowBlank="1" showInputMessage="1" sqref="L12:L13" xr:uid="{9F30BE74-8C31-4483-BA7E-8596EA6D2115}"/>
    <dataValidation type="list" allowBlank="1" showInputMessage="1" sqref="L128" xr:uid="{93715E7E-502B-4CF7-8754-7B2A76A36468}">
      <formula1>INDIRECT("IAMRole[Windows]")</formula1>
    </dataValidation>
    <dataValidation type="list" allowBlank="1" showInputMessage="1" sqref="L135" xr:uid="{4FD0B663-5F73-43CA-AA4C-51C8B8524A19}">
      <formula1>"有効,無効"</formula1>
    </dataValidation>
    <dataValidation type="list" allowBlank="1" showInputMessage="1" sqref="L14" xr:uid="{DF1531E5-6317-402A-A1B3-70BF6A2C3D2F}">
      <formula1>"あり,なし"</formula1>
    </dataValidation>
    <dataValidation type="list" allowBlank="1" showInputMessage="1" sqref="L130" xr:uid="{F095FF0D-5DFC-47F9-80DF-FB699F362635}">
      <formula1>"共有 - 共有ハードウェアインスタンスの実行,専用 - 専用ハードウェアインスタンスの実行,専有ホスト - このインスタンスを専有ホスト上で起動"</formula1>
    </dataValidation>
    <dataValidation type="list" allowBlank="1" showInputMessage="1" sqref="L277" xr:uid="{37886DEA-1DA3-4B05-85B2-499DAEE173FD}">
      <formula1>"新しいセキュリティグループを作成する,既存のセキュリティグループを選択する"</formula1>
    </dataValidation>
    <dataValidation type="list" allowBlank="1" showInputMessage="1" sqref="L284" xr:uid="{8B08E0CC-1296-4BE4-B7BC-FD5C2DB18384}">
      <formula1>"既存のキーペアの選択,新しいキーペアの作成"</formula1>
    </dataValidation>
    <dataValidation type="list" allowBlank="1" showInputMessage="1" sqref="L10" xr:uid="{DE678DB3-0965-4336-ADB0-CFD72351A028}">
      <formula1>INDIRECT("リージョン[名前]")</formula1>
    </dataValidation>
    <dataValidation type="list" allowBlank="1" showInputMessage="1" showErrorMessage="1" sqref="L112" xr:uid="{022970AA-D131-4A37-BD21-94EFE38DB6D0}">
      <formula1>IF(MID(L107,FIND("(",L107)-9,8)="internal",INDIRECT("内部[サブネット]"),INDIRECT("外部[サブネット]"))</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D09DC3C3-5784-4720-91D4-1FFA18B28056}">
          <x14:formula1>
            <xm:f>データ管理シート!$D$70:$D$80</xm:f>
          </x14:formula1>
          <xm:sqref>L107</xm:sqref>
        </x14:dataValidation>
        <x14:dataValidation type="list" allowBlank="1" showInputMessage="1" showErrorMessage="1" xr:uid="{71CFD408-B548-48DE-8E72-D9365F942264}">
          <x14:formula1>
            <xm:f>データ管理シート!$G$538:$G$541</xm:f>
          </x14:formula1>
          <xm:sqref>L113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A556-768A-444C-A73D-A79BC38ADB34}">
  <sheetPr codeName="Sheet7">
    <pageSetUpPr fitToPage="1"/>
  </sheetPr>
  <dimension ref="C2:F66"/>
  <sheetViews>
    <sheetView showGridLines="0" workbookViewId="0">
      <selection activeCell="F15" sqref="F15"/>
    </sheetView>
  </sheetViews>
  <sheetFormatPr defaultColWidth="9" defaultRowHeight="15"/>
  <cols>
    <col min="1" max="2" width="9" style="9"/>
    <col min="3" max="4" width="5.5" style="9" customWidth="1"/>
    <col min="5" max="5" width="20.5" style="9" customWidth="1"/>
    <col min="6" max="6" width="99.83203125" style="177" bestFit="1" customWidth="1"/>
    <col min="7" max="16384" width="9" style="9"/>
  </cols>
  <sheetData>
    <row r="2" spans="3:6" ht="16">
      <c r="C2" s="65" t="s">
        <v>3</v>
      </c>
      <c r="D2" s="58"/>
      <c r="E2" s="60"/>
      <c r="F2" s="176" t="s">
        <v>155</v>
      </c>
    </row>
    <row r="3" spans="3:6" ht="16">
      <c r="C3" s="65" t="s">
        <v>4</v>
      </c>
      <c r="D3" s="58"/>
      <c r="E3" s="60"/>
      <c r="F3" s="277" t="str">
        <f>IF('ヒアリングシート(Windows)'!L9="","-",'ヒアリングシート(Windows)'!L9)</f>
        <v>-</v>
      </c>
    </row>
    <row r="4" spans="3:6" ht="16">
      <c r="C4" s="65" t="s">
        <v>156</v>
      </c>
      <c r="D4" s="58"/>
      <c r="E4" s="60"/>
      <c r="F4" s="128" t="str">
        <f>IF('ヒアリングシート(Windows)'!L11="","-",'ヒアリングシート(Windows)'!L11)</f>
        <v>-</v>
      </c>
    </row>
    <row r="5" spans="3:6" ht="16">
      <c r="C5" s="65" t="s">
        <v>116</v>
      </c>
      <c r="D5" s="58"/>
      <c r="E5" s="60"/>
      <c r="F5" s="128">
        <f>IF(LEFT('ヒアリングシート(Windows)'!L12,1)="※","-",'ヒアリングシート(Windows)'!L12)</f>
        <v>0</v>
      </c>
    </row>
    <row r="6" spans="3:6" ht="16">
      <c r="C6" s="65" t="s">
        <v>157</v>
      </c>
      <c r="D6" s="58"/>
      <c r="E6" s="60"/>
      <c r="F6" s="128">
        <f>IF(LEFT('ヒアリングシート(Windows)'!L108,1)="※","-",'ヒアリングシート(Windows)'!L108)</f>
        <v>0</v>
      </c>
    </row>
    <row r="7" spans="3:6" ht="16">
      <c r="C7" s="65" t="s">
        <v>158</v>
      </c>
      <c r="D7" s="58"/>
      <c r="E7" s="60"/>
      <c r="F7" s="128">
        <f>IF(LEFT('ヒアリングシート(Windows)'!L109,1)="※","-",'ヒアリングシート(Windows)'!L109)</f>
        <v>0</v>
      </c>
    </row>
    <row r="8" spans="3:6" ht="16">
      <c r="C8" s="65" t="s">
        <v>159</v>
      </c>
      <c r="D8" s="58"/>
      <c r="E8" s="60"/>
      <c r="F8" s="128">
        <f>IF(LEFT('ヒアリングシート(Windows)'!L110,1)="※","-",'ヒアリングシート(Windows)'!L110)</f>
        <v>0</v>
      </c>
    </row>
    <row r="9" spans="3:6" ht="16">
      <c r="C9" s="65" t="s">
        <v>160</v>
      </c>
      <c r="D9" s="58"/>
      <c r="E9" s="60"/>
      <c r="F9" s="128">
        <f>IF(LEFT('ヒアリングシート(Windows)'!L114,1)="※","-",'ヒアリングシート(Windows)'!L114)</f>
        <v>0</v>
      </c>
    </row>
    <row r="10" spans="3:6" ht="16">
      <c r="C10" s="65" t="s">
        <v>43</v>
      </c>
      <c r="D10" s="58"/>
      <c r="E10" s="60"/>
      <c r="F10" s="128" t="str">
        <f>IF('ヒアリングシート(Windows)'!L103="","-",'ヒアリングシート(Windows)'!L103)</f>
        <v>-</v>
      </c>
    </row>
    <row r="11" spans="3:6" ht="16">
      <c r="C11" s="65" t="s">
        <v>47</v>
      </c>
      <c r="D11" s="58"/>
      <c r="E11" s="60"/>
      <c r="F11" s="128" t="str">
        <f>IF('ヒアリングシート(Windows)'!L17="","-",'ヒアリングシート(Windows)'!L17)</f>
        <v>-</v>
      </c>
    </row>
    <row r="12" spans="3:6" ht="16">
      <c r="C12" s="65" t="s">
        <v>161</v>
      </c>
      <c r="D12" s="58"/>
      <c r="E12" s="60"/>
      <c r="F12" s="128">
        <f>IF(LEFT('ヒアリングシート(Windows)'!L120,1)="※","-",'ヒアリングシート(Windows)'!L120)</f>
        <v>0</v>
      </c>
    </row>
    <row r="13" spans="3:6" ht="16">
      <c r="C13" s="65" t="s">
        <v>162</v>
      </c>
      <c r="D13" s="58"/>
      <c r="E13" s="60"/>
      <c r="F13" s="128" t="str">
        <f>IF('ヒアリングシート(Windows)'!L19="","-",'ヒアリングシート(Windows)'!L19)</f>
        <v>-</v>
      </c>
    </row>
    <row r="14" spans="3:6" ht="16">
      <c r="C14" s="65" t="s">
        <v>163</v>
      </c>
      <c r="D14" s="58"/>
      <c r="E14" s="60"/>
      <c r="F14" s="128">
        <f>IF(LEFT('ヒアリングシート(Windows)'!L20,1)="※","-",'ヒアリングシート(Windows)'!L20)</f>
        <v>0</v>
      </c>
    </row>
    <row r="15" spans="3:6" ht="16">
      <c r="C15" s="65" t="s">
        <v>164</v>
      </c>
      <c r="D15" s="58"/>
      <c r="E15" s="60"/>
      <c r="F15" s="128" t="str">
        <f>IF('ヒアリングシート(Windows)'!L21="","-",'ヒアリングシート(Windows)'!L21)</f>
        <v>-</v>
      </c>
    </row>
    <row r="16" spans="3:6" ht="16">
      <c r="C16" s="65" t="s">
        <v>165</v>
      </c>
      <c r="D16" s="58"/>
      <c r="E16" s="60"/>
      <c r="F16" s="128" t="str">
        <f>IF('ヒアリングシート(Windows)'!L22="","-",'ヒアリングシート(Windows)'!L22)</f>
        <v>-</v>
      </c>
    </row>
    <row r="17" spans="3:6" ht="16">
      <c r="C17" s="65" t="s">
        <v>166</v>
      </c>
      <c r="D17" s="58"/>
      <c r="E17" s="60"/>
      <c r="F17" s="128" t="str">
        <f>IF('ヒアリングシート(Windows)'!L23="","-",'ヒアリングシート(Windows)'!L23)</f>
        <v>-</v>
      </c>
    </row>
    <row r="18" spans="3:6" ht="16">
      <c r="C18" s="65" t="s">
        <v>167</v>
      </c>
      <c r="D18" s="58"/>
      <c r="E18" s="60"/>
      <c r="F18" s="128" t="str">
        <f>IF('ヒアリングシート(Windows)'!L24="","-",'ヒアリングシート(Windows)'!L24)</f>
        <v>-</v>
      </c>
    </row>
    <row r="19" spans="3:6" ht="16">
      <c r="C19" s="65" t="s">
        <v>168</v>
      </c>
      <c r="D19" s="58"/>
      <c r="E19" s="60"/>
      <c r="F19" s="128" t="str">
        <f>IF('ヒアリングシート(Windows)'!L289="","-",'ヒアリングシート(Windows)'!L289)</f>
        <v>-</v>
      </c>
    </row>
    <row r="20" spans="3:6" ht="16">
      <c r="C20" s="65" t="s">
        <v>169</v>
      </c>
      <c r="D20" s="58"/>
      <c r="E20" s="60"/>
      <c r="F20" s="277" t="str">
        <f ca="1">IF(LEFT('ヒアリングシート(Windows)'!L232,1)="※","-",'ヒアリングシート(Windows)'!L232)</f>
        <v>-</v>
      </c>
    </row>
    <row r="21" spans="3:6" ht="16">
      <c r="C21" s="65" t="s">
        <v>170</v>
      </c>
      <c r="D21" s="58"/>
      <c r="E21" s="60"/>
      <c r="F21" s="128" t="str">
        <f ca="1">IF(LEFT('ヒアリングシート(Windows)'!L227,1)="※","-",'ヒアリングシート(Windows)'!L227)</f>
        <v>-</v>
      </c>
    </row>
    <row r="22" spans="3:6" ht="16">
      <c r="C22" s="65" t="s">
        <v>45</v>
      </c>
      <c r="D22" s="58"/>
      <c r="E22" s="60"/>
      <c r="F22" s="127">
        <f>IF(LEFT('ヒアリングシート(Windows)'!L123,1)="※","-",'ヒアリングシート(Windows)'!L123)</f>
        <v>0</v>
      </c>
    </row>
    <row r="23" spans="3:6" ht="16">
      <c r="C23" s="65" t="s">
        <v>46</v>
      </c>
      <c r="D23" s="58"/>
      <c r="E23" s="60"/>
      <c r="F23" s="167">
        <f>IF(LEFT('ヒアリングシート(Windows)'!L124,1)="※","-",'ヒアリングシート(Windows)'!L124)</f>
        <v>0</v>
      </c>
    </row>
    <row r="24" spans="3:6" ht="16">
      <c r="C24" s="65" t="s">
        <v>171</v>
      </c>
      <c r="D24" s="58"/>
      <c r="E24" s="60"/>
      <c r="F24" s="126" t="str">
        <f>IF('ヒアリングシート(Windows)'!L31="","-",'ヒアリングシート(Windows)'!L32&amp;"GB"&amp;" ("&amp;'ヒアリングシート(Windows)'!L33&amp;", "&amp;"IOPS:"&amp;'ヒアリングシート(Windows)'!L34&amp;", "&amp;"スループット:"&amp;'ヒアリングシート(Windows)'!L35&amp;"Mbps)")</f>
        <v>-</v>
      </c>
    </row>
    <row r="25" spans="3:6" ht="16">
      <c r="C25" s="65" t="str">
        <f>IF('ヒアリングシート(Windows)'!L37="",'ヒアリングシート(Windows)'!C36,'ヒアリングシート(Windows)'!L37&amp;"ドライブ"&amp;"("&amp;'ヒアリングシート(Windows)'!L146&amp;")")</f>
        <v>ディスク2</v>
      </c>
      <c r="D25" s="58"/>
      <c r="E25" s="60"/>
      <c r="F25" s="126" t="str">
        <f>IF('ヒアリングシート(Windows)'!L37="","-",'ヒアリングシート(Windows)'!L38&amp;"GB"&amp;" ("&amp;'ヒアリングシート(Windows)'!L39&amp;", "&amp;"IOPS:"&amp;'ヒアリングシート(Windows)'!L40&amp;", "&amp;"スループット:"&amp;'ヒアリングシート(Windows)'!L41&amp;"Mbps)")</f>
        <v>-</v>
      </c>
    </row>
    <row r="26" spans="3:6" ht="16">
      <c r="C26" s="65" t="str">
        <f>IF('ヒアリングシート(Windows)'!L43="",'ヒアリングシート(Windows)'!C42,'ヒアリングシート(Windows)'!L43&amp;"ドライブ"&amp;"("&amp;'ヒアリングシート(Windows)'!L155&amp;")")</f>
        <v>ディスク3</v>
      </c>
      <c r="D26" s="58"/>
      <c r="E26" s="60"/>
      <c r="F26" s="126" t="str">
        <f>IF('ヒアリングシート(Windows)'!L43="","-",'ヒアリングシート(Windows)'!L44&amp;"GB"&amp;" ("&amp;'ヒアリングシート(Windows)'!L45&amp;", "&amp;"IOPS:"&amp;'ヒアリングシート(Windows)'!L46&amp;", "&amp;"スループット:"&amp;'ヒアリングシート(Windows)'!L47&amp;"Mbps)")</f>
        <v>-</v>
      </c>
    </row>
    <row r="27" spans="3:6" ht="16">
      <c r="C27" s="65" t="str">
        <f>IF('ヒアリングシート(Windows)'!L49="",'ヒアリングシート(Windows)'!C48,'ヒアリングシート(Windows)'!L49&amp;"ドライブ"&amp;"("&amp;'ヒアリングシート(Windows)'!L164&amp;")")</f>
        <v>ディスク4</v>
      </c>
      <c r="D27" s="58"/>
      <c r="E27" s="60"/>
      <c r="F27" s="126" t="str">
        <f>IF('ヒアリングシート(Windows)'!L49="","-",'ヒアリングシート(Windows)'!L50&amp;"GB"&amp;" ("&amp;'ヒアリングシート(Windows)'!L51&amp;", "&amp;"IOPS:"&amp;'ヒアリングシート(Windows)'!L52&amp;", "&amp;"スループット:"&amp;'ヒアリングシート(Windows)'!L53&amp;"Mbps)")</f>
        <v>-</v>
      </c>
    </row>
    <row r="28" spans="3:6" ht="16">
      <c r="C28" s="65" t="str">
        <f>IF('ヒアリングシート(Windows)'!L55="",'ヒアリングシート(Windows)'!C54,'ヒアリングシート(Windows)'!L55&amp;"ドライブ"&amp;"("&amp;'ヒアリングシート(Windows)'!L173&amp;")")</f>
        <v>ディスク5</v>
      </c>
      <c r="D28" s="58"/>
      <c r="E28" s="60"/>
      <c r="F28" s="126" t="str">
        <f>IF('ヒアリングシート(Windows)'!L55="","-",'ヒアリングシート(Windows)'!L56&amp;"GB"&amp;" ("&amp;'ヒアリングシート(Windows)'!L57&amp;", "&amp;"IOPS:"&amp;'ヒアリングシート(Windows)'!L58&amp;", "&amp;"スループット:"&amp;'ヒアリングシート(Windows)'!L59&amp;"Mbps)")</f>
        <v>-</v>
      </c>
    </row>
    <row r="29" spans="3:6" ht="16">
      <c r="C29" s="65" t="str">
        <f>IF('ヒアリングシート(Windows)'!L61="",'ヒアリングシート(Windows)'!C60,'ヒアリングシート(Windows)'!L61&amp;"ドライブ"&amp;"("&amp;'ヒアリングシート(Windows)'!L182&amp;")")</f>
        <v>ディスク6</v>
      </c>
      <c r="D29" s="58"/>
      <c r="E29" s="60"/>
      <c r="F29" s="126" t="str">
        <f>IF('ヒアリングシート(Windows)'!L61="","-",'ヒアリングシート(Windows)'!L62&amp;"GB"&amp;" ("&amp;'ヒアリングシート(Windows)'!L63&amp;", "&amp;"IOPS:"&amp;'ヒアリングシート(Windows)'!L64&amp;", "&amp;"スループット:"&amp;'ヒアリングシート(Windows)'!L65&amp;"Mbps)")</f>
        <v>-</v>
      </c>
    </row>
    <row r="30" spans="3:6" ht="16">
      <c r="C30" s="65" t="str">
        <f>IF('ヒアリングシート(Windows)'!L67="",'ヒアリングシート(Windows)'!C66,'ヒアリングシート(Windows)'!L67&amp;"ドライブ"&amp;"("&amp;'ヒアリングシート(Windows)'!L191&amp;")")</f>
        <v>ディスク7</v>
      </c>
      <c r="D30" s="58"/>
      <c r="E30" s="60"/>
      <c r="F30" s="126" t="str">
        <f>IF('ヒアリングシート(Windows)'!L67="","-",'ヒアリングシート(Windows)'!L68&amp;"GB"&amp;" ("&amp;'ヒアリングシート(Windows)'!L69&amp;", "&amp;"IOPS:"&amp;'ヒアリングシート(Windows)'!L70&amp;", "&amp;"スループット:"&amp;'ヒアリングシート(Windows)'!L71&amp;"Mbps)")</f>
        <v>-</v>
      </c>
    </row>
    <row r="31" spans="3:6" ht="16">
      <c r="C31" s="65" t="str">
        <f>IF('ヒアリングシート(Windows)'!L73="",'ヒアリングシート(Windows)'!C72,'ヒアリングシート(Windows)'!L73&amp;"ドライブ"&amp;"("&amp;'ヒアリングシート(Windows)'!L200&amp;")")</f>
        <v>ディスク8</v>
      </c>
      <c r="D31" s="58"/>
      <c r="E31" s="60"/>
      <c r="F31" s="126" t="str">
        <f>IF('ヒアリングシート(Windows)'!L73="","-",'ヒアリングシート(Windows)'!L74&amp;"GB"&amp;" ("&amp;'ヒアリングシート(Windows)'!L75&amp;", "&amp;"IOPS:"&amp;'ヒアリングシート(Windows)'!L76&amp;", "&amp;"スループット:"&amp;'ヒアリングシート(Windows)'!L77&amp;"Mbps)")</f>
        <v>-</v>
      </c>
    </row>
    <row r="32" spans="3:6" ht="16">
      <c r="C32" s="65" t="str">
        <f>IF('ヒアリングシート(Windows)'!L79="",'ヒアリングシート(Windows)'!C78,'ヒアリングシート(Windows)'!L49&amp;"ドライブ"&amp;"("&amp;'ヒアリングシート(Windows)'!L209&amp;")")</f>
        <v>ディスク9</v>
      </c>
      <c r="D32" s="58"/>
      <c r="E32" s="60"/>
      <c r="F32" s="126" t="str">
        <f>IF('ヒアリングシート(Windows)'!L79="","-",'ヒアリングシート(Windows)'!L80&amp;"GB"&amp;" ("&amp;'ヒアリングシート(Windows)'!L81&amp;", "&amp;"IOPS:"&amp;'ヒアリングシート(Windows)'!L82&amp;", "&amp;"スループット:"&amp;'ヒアリングシート(Windows)'!L83&amp;"Mbps)")</f>
        <v>-</v>
      </c>
    </row>
    <row r="33" spans="3:6" ht="16">
      <c r="C33" s="65" t="str">
        <f>IF('ヒアリングシート(Windows)'!L85="",'ヒアリングシート(Windows)'!C84,'ヒアリングシート(Windows)'!L85&amp;"ドライブ"&amp;"("&amp;'ヒアリングシート(Windows)'!L218&amp;")")</f>
        <v>ディスク10</v>
      </c>
      <c r="D33" s="58"/>
      <c r="E33" s="60"/>
      <c r="F33" s="126" t="str">
        <f>IF('ヒアリングシート(Windows)'!L85="","-",'ヒアリングシート(Windows)'!L86&amp;"GB"&amp;" ("&amp;'ヒアリングシート(Windows)'!L87&amp;", "&amp;"IOPS:"&amp;'ヒアリングシート(Windows)'!L88&amp;", "&amp;"スループット:"&amp;'ヒアリングシート(Windows)'!L89&amp;"Mbps)")</f>
        <v>-</v>
      </c>
    </row>
    <row r="34" spans="3:6" ht="16">
      <c r="C34" s="65" t="s">
        <v>172</v>
      </c>
      <c r="D34" s="58"/>
      <c r="E34" s="60"/>
      <c r="F34" s="128" t="str">
        <f>IF('ヒアリングシート(Windows)'!L302="","-",'ヒアリングシート(Windows)'!L302)</f>
        <v>暗号化済み</v>
      </c>
    </row>
    <row r="35" spans="3:6" ht="16">
      <c r="C35" s="65" t="s">
        <v>173</v>
      </c>
      <c r="D35" s="58"/>
      <c r="E35" s="60"/>
      <c r="F35" s="128" t="str">
        <f>IF('ヒアリングシート(Windows)'!L143="","-",'ヒアリングシート(Windows)'!L143)</f>
        <v>aws/ebs</v>
      </c>
    </row>
    <row r="36" spans="3:6" ht="16">
      <c r="C36" s="65" t="s">
        <v>174</v>
      </c>
      <c r="D36" s="58"/>
      <c r="E36" s="60"/>
      <c r="F36" s="128">
        <f>IF(LEFT('ヒアリングシート(Windows)'!L110,1)="※","-",'ヒアリングシート(Windows)'!L110)</f>
        <v>0</v>
      </c>
    </row>
    <row r="37" spans="3:6" ht="16">
      <c r="C37" s="65" t="s">
        <v>175</v>
      </c>
      <c r="D37" s="58"/>
      <c r="E37" s="60"/>
      <c r="F37" s="128">
        <f>IF(LEFT('ヒアリングシート(Windows)'!L114,1)="※","-",'ヒアリングシート(Windows)'!L114)</f>
        <v>0</v>
      </c>
    </row>
    <row r="38" spans="3:6" ht="16">
      <c r="C38" s="65" t="s">
        <v>176</v>
      </c>
      <c r="D38" s="58"/>
      <c r="E38" s="60"/>
      <c r="F38" s="128">
        <f>IF(LEFT('ヒアリングシート(Windows)'!L115,1)="※","-",'ヒアリングシート(Windows)'!L115)</f>
        <v>0</v>
      </c>
    </row>
    <row r="39" spans="3:6" ht="16">
      <c r="C39" s="65" t="s">
        <v>177</v>
      </c>
      <c r="D39" s="58"/>
      <c r="E39" s="60"/>
      <c r="F39" s="128">
        <f>IF(LEFT('ヒアリングシート(Windows)'!L116,1)="※","-",'ヒアリングシート(Windows)'!L116)</f>
        <v>0</v>
      </c>
    </row>
    <row r="40" spans="3:6" ht="16">
      <c r="C40" s="67" t="s">
        <v>178</v>
      </c>
      <c r="D40" s="114"/>
      <c r="E40" s="60"/>
      <c r="F40" s="128" t="str">
        <f ca="1">IF(LEFT('ヒアリングシート(Windows)'!L451,1)="※","-",'ヒアリングシート(Windows)'!L451)</f>
        <v>-</v>
      </c>
    </row>
    <row r="41" spans="3:6" ht="16">
      <c r="C41" s="67" t="s">
        <v>179</v>
      </c>
      <c r="D41" s="114"/>
      <c r="E41" s="60"/>
      <c r="F41" s="128" t="str">
        <f ca="1">IF(LEFT('ヒアリングシート(Windows)'!L457,1)="※","-",'ヒアリングシート(Windows)'!L457)</f>
        <v>-</v>
      </c>
    </row>
    <row r="42" spans="3:6" ht="16">
      <c r="C42" s="72"/>
      <c r="D42" s="67" t="s">
        <v>137</v>
      </c>
      <c r="E42" s="58"/>
      <c r="F42" s="175"/>
    </row>
    <row r="43" spans="3:6" ht="16">
      <c r="C43" s="72"/>
      <c r="D43" s="72"/>
      <c r="E43" s="115" t="s">
        <v>142</v>
      </c>
      <c r="F43" s="128" t="str">
        <f>IF(LEN('ヒアリングシート(Windows)'!L465)&lt;2,"-",'ヒアリングシート(Windows)'!I465&amp;"："&amp;'ヒアリングシート(Windows)'!L465&amp;", "&amp;'ヒアリングシート(Windows)'!I466&amp;"："&amp;'ヒアリングシート(Windows)'!L466&amp;", "&amp;'ヒアリングシート(Windows)'!I467&amp;"："&amp;'ヒアリングシート(Windows)'!L467&amp;", "&amp;'ヒアリングシート(Windows)'!I468&amp;"："&amp;'ヒアリングシート(Windows)'!L468)</f>
        <v>-</v>
      </c>
    </row>
    <row r="44" spans="3:6" ht="16">
      <c r="C44" s="72"/>
      <c r="D44" s="72"/>
      <c r="E44" s="115" t="s">
        <v>180</v>
      </c>
      <c r="F44" s="128" t="str">
        <f>IF(LEN('ヒアリングシート(Windows)'!L471)&lt;2,"-",'ヒアリングシート(Windows)'!I471&amp;"："&amp;'ヒアリングシート(Windows)'!L471&amp;", "&amp;'ヒアリングシート(Windows)'!I472&amp;"："&amp;'ヒアリングシート(Windows)'!L472&amp;", "&amp;'ヒアリングシート(Windows)'!I473&amp;"："&amp;'ヒアリングシート(Windows)'!L473&amp;", "&amp;'ヒアリングシート(Windows)'!I474&amp;"："&amp;'ヒアリングシート(Windows)'!L474)</f>
        <v>-</v>
      </c>
    </row>
    <row r="45" spans="3:6" ht="16">
      <c r="C45" s="72"/>
      <c r="D45" s="72"/>
      <c r="E45" s="115" t="s">
        <v>181</v>
      </c>
      <c r="F45" s="128" t="str">
        <f>IF(LEN('ヒアリングシート(Windows)'!L477)&lt;2,"-",'ヒアリングシート(Windows)'!I477&amp;"："&amp;'ヒアリングシート(Windows)'!L477&amp;", "&amp;'ヒアリングシート(Windows)'!I478&amp;"："&amp;'ヒアリングシート(Windows)'!L478&amp;", "&amp;'ヒアリングシート(Windows)'!I479&amp;"："&amp;'ヒアリングシート(Windows)'!L479&amp;", "&amp;'ヒアリングシート(Windows)'!I480&amp;"："&amp;'ヒアリングシート(Windows)'!L480)</f>
        <v>-</v>
      </c>
    </row>
    <row r="46" spans="3:6" ht="16">
      <c r="C46" s="72"/>
      <c r="D46" s="72"/>
      <c r="E46" s="115" t="s">
        <v>182</v>
      </c>
      <c r="F46" s="128" t="str">
        <f>IF(LEN('ヒアリングシート(Windows)'!L483)&lt;2,"-",'ヒアリングシート(Windows)'!I483&amp;"："&amp;'ヒアリングシート(Windows)'!L483&amp;", "&amp;'ヒアリングシート(Windows)'!I484&amp;"："&amp;'ヒアリングシート(Windows)'!L484&amp;", "&amp;'ヒアリングシート(Windows)'!I485&amp;"："&amp;'ヒアリングシート(Windows)'!L485&amp;", "&amp;'ヒアリングシート(Windows)'!I486&amp;"："&amp;'ヒアリングシート(Windows)'!L486)</f>
        <v>-</v>
      </c>
    </row>
    <row r="47" spans="3:6" ht="16">
      <c r="C47" s="72"/>
      <c r="D47" s="72"/>
      <c r="E47" s="115" t="s">
        <v>146</v>
      </c>
      <c r="F47" s="128" t="str">
        <f>IF(LEN('ヒアリングシート(Windows)'!L489)&lt;2,"-",'ヒアリングシート(Windows)'!I489&amp;"："&amp;'ヒアリングシート(Windows)'!L489&amp;", "&amp;'ヒアリングシート(Windows)'!I490&amp;"："&amp;'ヒアリングシート(Windows)'!L490&amp;", "&amp;'ヒアリングシート(Windows)'!I491&amp;"："&amp;'ヒアリングシート(Windows)'!L491&amp;", "&amp;'ヒアリングシート(Windows)'!I492&amp;"："&amp;'ヒアリングシート(Windows)'!L492)</f>
        <v>-</v>
      </c>
    </row>
    <row r="48" spans="3:6" ht="16">
      <c r="C48" s="72"/>
      <c r="D48" s="72"/>
      <c r="E48" s="115" t="s">
        <v>147</v>
      </c>
      <c r="F48" s="128" t="str">
        <f>IF(LEN('ヒアリングシート(Windows)'!L495)&lt;2,"-",'ヒアリングシート(Windows)'!I495&amp;"："&amp;'ヒアリングシート(Windows)'!L495&amp;", "&amp;'ヒアリングシート(Windows)'!I496&amp;"："&amp;'ヒアリングシート(Windows)'!L496&amp;", "&amp;'ヒアリングシート(Windows)'!I497&amp;"："&amp;'ヒアリングシート(Windows)'!L497&amp;", "&amp;'ヒアリングシート(Windows)'!I498&amp;"："&amp;'ヒアリングシート(Windows)'!L498)</f>
        <v>-</v>
      </c>
    </row>
    <row r="49" spans="3:6" ht="16">
      <c r="C49" s="72"/>
      <c r="D49" s="72"/>
      <c r="E49" s="115" t="s">
        <v>711</v>
      </c>
      <c r="F49" s="128" t="str">
        <f>IF(LEN('ヒアリングシート(Windows)'!L501)&lt;2,"-",'ヒアリングシート(Windows)'!I501&amp;"："&amp;'ヒアリングシート(Windows)'!L501&amp;", "&amp;'ヒアリングシート(Windows)'!I502&amp;"："&amp;'ヒアリングシート(Windows)'!L502&amp;", "&amp;'ヒアリングシート(Windows)'!I503&amp;"："&amp;'ヒアリングシート(Windows)'!L503&amp;", "&amp;'ヒアリングシート(Windows)'!I504&amp;"："&amp;'ヒアリングシート(Windows)'!L504)</f>
        <v>-</v>
      </c>
    </row>
    <row r="50" spans="3:6" ht="16">
      <c r="C50" s="72"/>
      <c r="D50" s="72"/>
      <c r="E50" s="115" t="s">
        <v>712</v>
      </c>
      <c r="F50" s="128" t="str">
        <f>IF(LEN('ヒアリングシート(Windows)'!L507)&lt;2,"-",'ヒアリングシート(Windows)'!I507&amp;"："&amp;'ヒアリングシート(Windows)'!L507&amp;", "&amp;'ヒアリングシート(Windows)'!I508&amp;"："&amp;'ヒアリングシート(Windows)'!L508&amp;", "&amp;'ヒアリングシート(Windows)'!I509&amp;"："&amp;'ヒアリングシート(Windows)'!L509&amp;", "&amp;'ヒアリングシート(Windows)'!I510&amp;"："&amp;'ヒアリングシート(Windows)'!L510)</f>
        <v>-</v>
      </c>
    </row>
    <row r="51" spans="3:6" ht="16">
      <c r="C51" s="72"/>
      <c r="D51" s="72"/>
      <c r="E51" s="115" t="s">
        <v>713</v>
      </c>
      <c r="F51" s="128" t="str">
        <f>IF(LEN('ヒアリングシート(Windows)'!L513)&lt;2,"-",'ヒアリングシート(Windows)'!I513&amp;"："&amp;'ヒアリングシート(Windows)'!L513&amp;", "&amp;'ヒアリングシート(Windows)'!I514&amp;"："&amp;'ヒアリングシート(Windows)'!L514&amp;", "&amp;'ヒアリングシート(Windows)'!I515&amp;"："&amp;'ヒアリングシート(Windows)'!L515&amp;", "&amp;'ヒアリングシート(Windows)'!I516&amp;"："&amp;'ヒアリングシート(Windows)'!L516)</f>
        <v>-</v>
      </c>
    </row>
    <row r="52" spans="3:6" ht="16">
      <c r="C52" s="72"/>
      <c r="D52" s="72"/>
      <c r="E52" s="115" t="s">
        <v>151</v>
      </c>
      <c r="F52" s="128" t="str">
        <f>IF(LEN('ヒアリングシート(Windows)'!L519)&lt;2,"-",'ヒアリングシート(Windows)'!I519&amp;"："&amp;'ヒアリングシート(Windows)'!L519&amp;", "&amp;'ヒアリングシート(Windows)'!I520&amp;"："&amp;'ヒアリングシート(Windows)'!L520&amp;", "&amp;'ヒアリングシート(Windows)'!I521&amp;"："&amp;'ヒアリングシート(Windows)'!L521&amp;", "&amp;'ヒアリングシート(Windows)'!I522&amp;"："&amp;'ヒアリングシート(Windows)'!L522)</f>
        <v>-</v>
      </c>
    </row>
    <row r="53" spans="3:6" ht="16">
      <c r="C53" s="72"/>
      <c r="D53" s="67" t="s">
        <v>152</v>
      </c>
      <c r="E53" s="58"/>
      <c r="F53" s="175"/>
    </row>
    <row r="54" spans="3:6" ht="16">
      <c r="C54" s="72"/>
      <c r="D54" s="72"/>
      <c r="E54" s="115" t="s">
        <v>142</v>
      </c>
      <c r="F54" s="128" t="str">
        <f>IF(LEN('ヒアリングシート(Windows)'!L526)&lt;2,"-",'ヒアリングシート(Windows)'!I526&amp;"："&amp;'ヒアリングシート(Windows)'!L526&amp;", "&amp;'ヒアリングシート(Windows)'!I527&amp;"："&amp;'ヒアリングシート(Windows)'!L527&amp;", "&amp;'ヒアリングシート(Windows)'!I528&amp;"："&amp;'ヒアリングシート(Windows)'!L528&amp;", "&amp;'ヒアリングシート(Windows)'!I529&amp;"："&amp;'ヒアリングシート(Windows)'!L529)</f>
        <v>-</v>
      </c>
    </row>
    <row r="55" spans="3:6" ht="16">
      <c r="C55" s="65" t="s">
        <v>183</v>
      </c>
      <c r="D55" s="58"/>
      <c r="E55" s="60"/>
      <c r="F55" s="128" t="str">
        <f>IF('ヒアリングシート(Windows)'!L128="","-",'ヒアリングシート(Windows)'!L128)</f>
        <v>ec2role-ssm-managed-access</v>
      </c>
    </row>
    <row r="56" spans="3:6" ht="16">
      <c r="C56" s="65" t="s">
        <v>184</v>
      </c>
      <c r="D56" s="58"/>
      <c r="E56" s="60"/>
      <c r="F56" s="128">
        <f>IF(LEFT('ヒアリングシート(Windows)'!L286,1)="※","-",'ヒアリングシート(Windows)'!L286)</f>
        <v>0</v>
      </c>
    </row>
    <row r="57" spans="3:6" ht="16">
      <c r="C57" s="65" t="s">
        <v>624</v>
      </c>
      <c r="D57" s="58"/>
      <c r="E57" s="60"/>
      <c r="F57" s="277" t="e">
        <f>IF('ヒアリングシート(Windows)'!L294="","-",'ヒアリングシート(Windows)'!L294)</f>
        <v>#VALUE!</v>
      </c>
    </row>
    <row r="58" spans="3:6" ht="16">
      <c r="C58" s="65" t="s">
        <v>627</v>
      </c>
      <c r="D58" s="58"/>
      <c r="E58" s="60"/>
      <c r="F58" s="128" t="str">
        <f>IF('ヒアリングシート(Windows)'!L295="","-",'ヒアリングシート(Windows)'!L295)</f>
        <v>-</v>
      </c>
    </row>
    <row r="59" spans="3:6" ht="16">
      <c r="C59" s="65" t="s">
        <v>210</v>
      </c>
      <c r="D59" s="58"/>
      <c r="E59" s="60"/>
      <c r="F59" s="128" t="str">
        <f>IF('ヒアリングシート(Windows)'!L296="","-",#REF!)</f>
        <v>-</v>
      </c>
    </row>
    <row r="60" spans="3:6" ht="16">
      <c r="C60" s="65" t="s">
        <v>185</v>
      </c>
      <c r="D60" s="58"/>
      <c r="E60" s="60"/>
      <c r="F60" s="128" t="str">
        <f>IF('ヒアリングシート(Windows)'!L549="","-",'ヒアリングシート(Windows)'!L549)</f>
        <v>自動設定（DHCP）</v>
      </c>
    </row>
    <row r="61" spans="3:6" ht="16">
      <c r="C61" s="65" t="s">
        <v>186</v>
      </c>
      <c r="D61" s="58"/>
      <c r="E61" s="60"/>
      <c r="F61" s="128" t="str">
        <f>IF('ヒアリングシート(Windows)'!L550="","-",'ヒアリングシート(Windows)'!L550)</f>
        <v>-</v>
      </c>
    </row>
    <row r="62" spans="3:6" ht="16">
      <c r="C62" s="65" t="s">
        <v>187</v>
      </c>
      <c r="D62" s="58"/>
      <c r="E62" s="60"/>
      <c r="F62" s="128" t="str">
        <f>IF('ヒアリングシート(Windows)'!L551="","-",'ヒアリングシート(Windows)'!L551)</f>
        <v>169.254.169.123</v>
      </c>
    </row>
    <row r="63" spans="3:6" ht="16">
      <c r="C63" s="65" t="s">
        <v>188</v>
      </c>
      <c r="D63" s="58"/>
      <c r="E63" s="60"/>
      <c r="F63" s="277" t="str">
        <f>IF('ヒアリングシート(Windows)'!L552="","-",'ヒアリングシート(Windows)'!L552)</f>
        <v>ec2-user</v>
      </c>
    </row>
    <row r="64" spans="3:6" ht="16">
      <c r="C64" s="65" t="s">
        <v>189</v>
      </c>
      <c r="D64" s="58"/>
      <c r="E64" s="60"/>
      <c r="F64" s="277" t="str">
        <f>IF('ヒアリングシート(Windows)'!L553="","-",'ヒアリングシート(Windows)'!L553)</f>
        <v>鍵認証</v>
      </c>
    </row>
    <row r="65" spans="3:6">
      <c r="C65" s="144"/>
      <c r="D65" s="146"/>
      <c r="E65" s="145"/>
      <c r="F65" s="128"/>
    </row>
    <row r="66" spans="3:6">
      <c r="C66" s="144" t="s">
        <v>190</v>
      </c>
      <c r="D66" s="146"/>
      <c r="E66" s="145"/>
      <c r="F66" s="128"/>
    </row>
  </sheetData>
  <phoneticPr fontId="1"/>
  <printOptions horizontalCentered="1" verticalCentered="1"/>
  <pageMargins left="0" right="0" top="0" bottom="0" header="0" footer="0"/>
  <pageSetup paperSize="9" scale="8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7C9B-0BEC-4981-BBE8-A2729131BD0A}">
  <sheetPr codeName="Sheet4">
    <pageSetUpPr fitToPage="1"/>
  </sheetPr>
  <dimension ref="A1:XCQ270"/>
  <sheetViews>
    <sheetView showGridLines="0" topLeftCell="A95" zoomScale="70" zoomScaleNormal="70" workbookViewId="0"/>
  </sheetViews>
  <sheetFormatPr defaultColWidth="10.1640625" defaultRowHeight="15"/>
  <cols>
    <col min="1" max="2" width="6" style="11" customWidth="1"/>
    <col min="3" max="3" width="10.1640625" style="9"/>
    <col min="4" max="4" width="21.83203125" style="9" customWidth="1"/>
    <col min="5" max="6" width="15.5" style="9" customWidth="1"/>
    <col min="7" max="7" width="49.5" style="47" customWidth="1"/>
    <col min="8" max="8" width="33.4140625" style="9" customWidth="1"/>
    <col min="9" max="16384" width="10.1640625" style="9"/>
  </cols>
  <sheetData>
    <row r="1" spans="1:9" s="10" customFormat="1" ht="24.5">
      <c r="A1" s="8" t="s">
        <v>191</v>
      </c>
      <c r="B1" s="24"/>
      <c r="C1" s="24"/>
      <c r="D1" s="24"/>
      <c r="E1" s="24"/>
      <c r="F1" s="24"/>
      <c r="G1" s="47"/>
    </row>
    <row r="2" spans="1:9" ht="15" customHeight="1">
      <c r="D2" s="12"/>
      <c r="E2" s="12"/>
      <c r="F2" s="12"/>
    </row>
    <row r="3" spans="1:9" ht="16">
      <c r="A3" s="9"/>
      <c r="B3" s="13"/>
      <c r="C3" s="26" t="s">
        <v>192</v>
      </c>
      <c r="D3" s="26"/>
      <c r="E3" s="26"/>
      <c r="F3" s="26"/>
      <c r="G3" s="48">
        <f>COLUMN()-6</f>
        <v>1</v>
      </c>
      <c r="H3" s="40" t="s">
        <v>100</v>
      </c>
    </row>
    <row r="4" spans="1:9" ht="16">
      <c r="A4" s="9"/>
      <c r="B4" s="9"/>
      <c r="C4" s="27" t="s">
        <v>10</v>
      </c>
      <c r="D4" s="26"/>
      <c r="E4" s="26"/>
      <c r="F4" s="26"/>
      <c r="G4" s="49"/>
      <c r="H4" s="41"/>
      <c r="I4" s="14"/>
    </row>
    <row r="5" spans="1:9" ht="16">
      <c r="A5" s="9"/>
      <c r="B5" s="9"/>
      <c r="C5" s="25"/>
      <c r="D5" s="28" t="s">
        <v>193</v>
      </c>
      <c r="E5" s="137"/>
      <c r="F5" s="29"/>
      <c r="G5" s="50" t="str">
        <f ca="1">IF(LEFT('ヒアリングシート(Windows)'!L227,1)="※","",'ヒアリングシート(Windows)'!L227)</f>
        <v/>
      </c>
      <c r="H5" s="15"/>
      <c r="I5" s="14"/>
    </row>
    <row r="6" spans="1:9" ht="16">
      <c r="A6" s="9"/>
      <c r="B6" s="9"/>
      <c r="C6" s="25"/>
      <c r="D6" s="30" t="s">
        <v>194</v>
      </c>
      <c r="E6" s="138"/>
      <c r="F6" s="31"/>
      <c r="G6" s="50"/>
      <c r="H6" s="16"/>
      <c r="I6" s="14"/>
    </row>
    <row r="7" spans="1:9" ht="16">
      <c r="A7" s="9"/>
      <c r="B7" s="9"/>
      <c r="C7" s="25"/>
      <c r="D7" s="30" t="s">
        <v>40</v>
      </c>
      <c r="E7" s="138"/>
      <c r="F7" s="31"/>
      <c r="G7" s="50">
        <f>'ヒアリングシート(Windows)'!L289</f>
        <v>0</v>
      </c>
      <c r="H7" s="17"/>
    </row>
    <row r="8" spans="1:9" ht="16">
      <c r="A8" s="9"/>
      <c r="B8" s="9"/>
      <c r="C8" s="25"/>
      <c r="D8" s="30" t="s">
        <v>195</v>
      </c>
      <c r="E8" s="138"/>
      <c r="F8" s="31"/>
      <c r="G8" s="50" t="str">
        <f>IF('ヒアリングシート(Windows)'!L103="","",LEFT('ヒアリングシート(Windows)'!L103,FIND(" (",'ヒアリングシート(Windows)'!L103)-1))</f>
        <v/>
      </c>
      <c r="H8" s="17"/>
    </row>
    <row r="9" spans="1:9" ht="16">
      <c r="A9" s="9"/>
      <c r="B9" s="9"/>
      <c r="C9" s="25"/>
      <c r="D9" s="30" t="s">
        <v>196</v>
      </c>
      <c r="E9" s="138"/>
      <c r="F9" s="31"/>
      <c r="G9" s="50">
        <f>IF(LEFT('ヒアリングシート(Windows)'!L110,1)="※","",'ヒアリングシート(Windows)'!L110)</f>
        <v>0</v>
      </c>
      <c r="H9" s="17"/>
    </row>
    <row r="10" spans="1:9" ht="16">
      <c r="A10" s="9"/>
      <c r="B10" s="9"/>
      <c r="C10" s="25"/>
      <c r="D10" s="30" t="s">
        <v>197</v>
      </c>
      <c r="E10" s="138"/>
      <c r="F10" s="31"/>
      <c r="G10" s="50">
        <f>IF(LEFT('ヒアリングシート(Windows)'!L111,1)="※","",'ヒアリングシート(Windows)'!L111)</f>
        <v>0</v>
      </c>
      <c r="H10" s="17"/>
    </row>
    <row r="11" spans="1:9" ht="16">
      <c r="A11" s="9"/>
      <c r="B11" s="9"/>
      <c r="C11" s="25"/>
      <c r="D11" s="30" t="s">
        <v>198</v>
      </c>
      <c r="E11" s="138"/>
      <c r="F11" s="31"/>
      <c r="G11" s="50">
        <f>IF(LEFT('ヒアリングシート(Windows)'!L114,1)="※","",'ヒアリングシート(Windows)'!L114)</f>
        <v>0</v>
      </c>
      <c r="H11" s="17"/>
    </row>
    <row r="12" spans="1:9" ht="16">
      <c r="A12" s="9"/>
      <c r="B12" s="9"/>
      <c r="C12" s="25"/>
      <c r="D12" s="30" t="s">
        <v>199</v>
      </c>
      <c r="E12" s="138"/>
      <c r="F12" s="31"/>
      <c r="G12" s="50">
        <f>IF(LEFT('ヒアリングシート(Windows)'!L115,1)="※","",'ヒアリングシート(Windows)'!L115)</f>
        <v>0</v>
      </c>
      <c r="H12" s="17"/>
    </row>
    <row r="13" spans="1:9" ht="16">
      <c r="A13" s="9"/>
      <c r="B13" s="9"/>
      <c r="C13" s="25"/>
      <c r="D13" s="30" t="s">
        <v>50</v>
      </c>
      <c r="E13" s="138"/>
      <c r="F13" s="31"/>
      <c r="G13" s="50" t="str">
        <f>'ヒアリングシート(Windows)'!L291</f>
        <v>Default</v>
      </c>
      <c r="H13" s="17"/>
    </row>
    <row r="14" spans="1:9" ht="16">
      <c r="A14" s="9"/>
      <c r="B14" s="9"/>
      <c r="C14" s="25"/>
      <c r="D14" s="30" t="s">
        <v>200</v>
      </c>
      <c r="E14" s="138"/>
      <c r="F14" s="31"/>
      <c r="G14" s="50">
        <f>'ヒアリングシート(Windows)'!L113</f>
        <v>0</v>
      </c>
      <c r="H14" s="17"/>
    </row>
    <row r="15" spans="1:9" ht="16">
      <c r="A15" s="9"/>
      <c r="B15" s="9"/>
      <c r="C15" s="25"/>
      <c r="D15" s="30" t="s">
        <v>201</v>
      </c>
      <c r="E15" s="138"/>
      <c r="F15" s="31"/>
      <c r="G15" s="50" t="s">
        <v>666</v>
      </c>
      <c r="H15" s="17"/>
    </row>
    <row r="16" spans="1:9" ht="16">
      <c r="A16" s="9"/>
      <c r="B16" s="9"/>
      <c r="C16" s="25"/>
      <c r="D16" s="30" t="s">
        <v>202</v>
      </c>
      <c r="E16" s="138"/>
      <c r="F16" s="31"/>
      <c r="G16" s="50" t="str">
        <f>'ヒアリングシート(Windows)'!L290</f>
        <v>有効</v>
      </c>
      <c r="H16" s="17"/>
    </row>
    <row r="17" spans="1:9" ht="16">
      <c r="A17" s="9"/>
      <c r="B17" s="9"/>
      <c r="C17" s="25"/>
      <c r="D17" s="30" t="s">
        <v>203</v>
      </c>
      <c r="E17" s="138"/>
      <c r="F17" s="31"/>
      <c r="G17" s="50">
        <f>IF(LEFT('ヒアリングシート(Windows)'!L286,1)="※","",'ヒアリングシート(Windows)'!L286)</f>
        <v>0</v>
      </c>
      <c r="H17" s="17"/>
    </row>
    <row r="18" spans="1:9" ht="16">
      <c r="A18" s="9"/>
      <c r="B18" s="9"/>
      <c r="C18" s="25"/>
      <c r="D18" s="30" t="s">
        <v>204</v>
      </c>
      <c r="E18" s="138"/>
      <c r="F18" s="31"/>
      <c r="G18" s="50">
        <f>IF(LEFT('ヒアリングシート(Windows)'!L120,1)="※","",'ヒアリングシート(Windows)'!L120)</f>
        <v>0</v>
      </c>
      <c r="H18" s="17"/>
    </row>
    <row r="19" spans="1:9" ht="16">
      <c r="A19" s="9"/>
      <c r="B19" s="9"/>
      <c r="C19" s="32"/>
      <c r="D19" s="33" t="s">
        <v>205</v>
      </c>
      <c r="E19" s="140"/>
      <c r="F19" s="34"/>
      <c r="G19" s="50" t="str">
        <f ca="1">IF(LEFT('ヒアリングシート(Windows)'!L119,1)="※","",'ヒアリングシート(Windows)'!L119)</f>
        <v/>
      </c>
      <c r="H19" s="17"/>
    </row>
    <row r="20" spans="1:9" ht="16">
      <c r="A20" s="9"/>
      <c r="B20" s="9"/>
      <c r="C20" s="27" t="s">
        <v>206</v>
      </c>
      <c r="D20" s="26"/>
      <c r="E20" s="26"/>
      <c r="F20" s="26"/>
      <c r="G20" s="51"/>
      <c r="H20" s="42"/>
      <c r="I20" s="14"/>
    </row>
    <row r="21" spans="1:9" ht="16">
      <c r="A21" s="9"/>
      <c r="B21" s="9"/>
      <c r="C21" s="25"/>
      <c r="D21" s="28" t="s">
        <v>207</v>
      </c>
      <c r="E21" s="137"/>
      <c r="F21" s="29"/>
      <c r="G21" s="52" t="str">
        <f>'ヒアリングシート(Windows)'!L128</f>
        <v>ec2role-ssm-managed-access</v>
      </c>
      <c r="H21" s="15"/>
      <c r="I21" s="14"/>
    </row>
    <row r="22" spans="1:9" ht="16">
      <c r="A22" s="9"/>
      <c r="B22" s="9"/>
      <c r="C22" s="25"/>
      <c r="D22" s="30" t="s">
        <v>55</v>
      </c>
      <c r="E22" s="138"/>
      <c r="F22" s="31"/>
      <c r="G22" s="46" t="str">
        <f ca="1">IF(LEFT('ヒアリングシート(Windows)'!L451,1)="※","",'ヒアリングシート(Windows)'!L451)</f>
        <v/>
      </c>
      <c r="H22" s="17"/>
    </row>
    <row r="23" spans="1:9" ht="16">
      <c r="A23" s="9"/>
      <c r="B23" s="9"/>
      <c r="C23" s="25"/>
      <c r="D23" s="30" t="s">
        <v>60</v>
      </c>
      <c r="E23" s="139"/>
      <c r="F23" s="34"/>
      <c r="G23" s="46" t="str">
        <f ca="1">IF(LEFT('ヒアリングシート(Windows)'!L457,1)="※","",'ヒアリングシート(Windows)'!L457)</f>
        <v/>
      </c>
      <c r="H23" s="17"/>
    </row>
    <row r="24" spans="1:9" ht="16">
      <c r="A24" s="9"/>
      <c r="B24" s="9"/>
      <c r="C24" s="27" t="s">
        <v>208</v>
      </c>
      <c r="D24" s="35"/>
      <c r="E24" s="35"/>
      <c r="F24" s="35"/>
      <c r="G24" s="51"/>
      <c r="H24" s="42"/>
      <c r="I24" s="14"/>
    </row>
    <row r="25" spans="1:9" ht="16">
      <c r="A25" s="9"/>
      <c r="B25" s="9"/>
      <c r="C25" s="25"/>
      <c r="D25" s="36" t="s">
        <v>623</v>
      </c>
      <c r="E25" s="28" t="s">
        <v>209</v>
      </c>
      <c r="F25" s="29"/>
      <c r="G25" s="53">
        <f>'ヒアリングシート(Windows)'!L293</f>
        <v>0</v>
      </c>
      <c r="H25" s="15"/>
      <c r="I25" s="14"/>
    </row>
    <row r="26" spans="1:9" ht="16">
      <c r="A26" s="9"/>
      <c r="B26" s="9"/>
      <c r="C26" s="38"/>
      <c r="D26" s="25"/>
      <c r="E26" s="30" t="s">
        <v>621</v>
      </c>
      <c r="F26" s="31"/>
      <c r="G26" s="46" t="e">
        <f>IF(LEFT('ヒアリングシート(Windows)'!L294,1)="※","",'ヒアリングシート(Windows)'!L294)</f>
        <v>#VALUE!</v>
      </c>
      <c r="H26" s="17"/>
    </row>
    <row r="27" spans="1:9" ht="16">
      <c r="A27" s="9"/>
      <c r="B27" s="9"/>
      <c r="C27" s="38"/>
      <c r="D27" s="25"/>
      <c r="E27" s="30" t="s">
        <v>626</v>
      </c>
      <c r="F27" s="235"/>
      <c r="G27" s="46" t="str">
        <f>IF(LEFT('ヒアリングシート(Windows)'!L295,1)="","",'ヒアリングシート(Windows)'!L295)</f>
        <v>-</v>
      </c>
      <c r="H27" s="17"/>
    </row>
    <row r="28" spans="1:9" ht="16">
      <c r="A28" s="9"/>
      <c r="B28" s="9"/>
      <c r="C28" s="38"/>
      <c r="D28" s="32"/>
      <c r="E28" s="33" t="s">
        <v>210</v>
      </c>
      <c r="F28" s="34"/>
      <c r="G28" s="54" t="str">
        <f>IF('ヒアリングシート(Windows)'!L296="","-",#REF!)</f>
        <v>-</v>
      </c>
      <c r="H28" s="17"/>
    </row>
    <row r="29" spans="1:9" ht="16">
      <c r="A29" s="9"/>
      <c r="B29" s="9"/>
      <c r="C29" s="27" t="s">
        <v>133</v>
      </c>
      <c r="D29" s="35"/>
      <c r="E29" s="35"/>
      <c r="F29" s="35"/>
      <c r="G29" s="51"/>
      <c r="H29" s="42"/>
    </row>
    <row r="30" spans="1:9" ht="16">
      <c r="A30" s="9"/>
      <c r="B30" s="9"/>
      <c r="C30" s="25"/>
      <c r="D30" s="36" t="s">
        <v>211</v>
      </c>
      <c r="E30" s="28" t="s">
        <v>212</v>
      </c>
      <c r="F30" s="29"/>
      <c r="G30" s="52" t="str">
        <f ca="1">IF(LEFT('ヒアリングシート(Windows)'!L226,1)="※","",'ヒアリングシート(Windows)'!L226)</f>
        <v/>
      </c>
      <c r="H30" s="15"/>
      <c r="I30" s="14"/>
    </row>
    <row r="31" spans="1:9" ht="16">
      <c r="A31" s="9"/>
      <c r="B31" s="9"/>
      <c r="C31" s="25"/>
      <c r="D31" s="32"/>
      <c r="E31" s="33" t="s">
        <v>213</v>
      </c>
      <c r="F31" s="34"/>
      <c r="G31" s="165" t="str">
        <f ca="1">IF(LEFT('ヒアリングシート(Windows)'!L227,1)="※","",'ヒアリングシート(Windows)'!L227)</f>
        <v/>
      </c>
      <c r="H31" s="18"/>
    </row>
    <row r="32" spans="1:9" ht="16">
      <c r="A32" s="9"/>
      <c r="B32" s="9"/>
      <c r="C32" s="25"/>
      <c r="D32" s="36" t="s">
        <v>214</v>
      </c>
      <c r="E32" s="28" t="s">
        <v>212</v>
      </c>
      <c r="F32" s="29"/>
      <c r="G32" s="55" t="str">
        <f ca="1">IF(LEFT('ヒアリングシート(Windows)'!L231,1)="※","",'ヒアリングシート(Windows)'!L231)</f>
        <v/>
      </c>
      <c r="H32" s="20"/>
    </row>
    <row r="33" spans="1:9" ht="16">
      <c r="A33" s="9"/>
      <c r="B33" s="9"/>
      <c r="C33" s="25"/>
      <c r="D33" s="32"/>
      <c r="E33" s="33" t="s">
        <v>213</v>
      </c>
      <c r="F33" s="34"/>
      <c r="G33" s="54" t="str">
        <f ca="1">IF(LEFT('ヒアリングシート(Windows)'!L232,1)="※","",'ヒアリングシート(Windows)'!L232)</f>
        <v/>
      </c>
      <c r="H33" s="18"/>
    </row>
    <row r="34" spans="1:9" ht="16">
      <c r="A34" s="9"/>
      <c r="B34" s="9"/>
      <c r="C34" s="25"/>
      <c r="D34" s="36" t="s">
        <v>215</v>
      </c>
      <c r="E34" s="28" t="s">
        <v>212</v>
      </c>
      <c r="F34" s="29"/>
      <c r="G34" s="52" t="str">
        <f ca="1">IF(LEFT('ヒアリングシート(Windows)'!L236,1)="※","",'ヒアリングシート(Windows)'!L236)</f>
        <v/>
      </c>
      <c r="H34" s="15"/>
      <c r="I34" s="14"/>
    </row>
    <row r="35" spans="1:9" ht="16">
      <c r="A35" s="9"/>
      <c r="B35" s="9"/>
      <c r="C35" s="25"/>
      <c r="D35" s="32"/>
      <c r="E35" s="33" t="s">
        <v>213</v>
      </c>
      <c r="F35" s="34"/>
      <c r="G35" s="165" t="str">
        <f ca="1">IF(LEFT('ヒアリングシート(Windows)'!L237,1)="※","",'ヒアリングシート(Windows)'!L237)</f>
        <v/>
      </c>
      <c r="H35" s="18"/>
    </row>
    <row r="36" spans="1:9" ht="16">
      <c r="A36" s="9"/>
      <c r="B36" s="9"/>
      <c r="C36" s="25"/>
      <c r="D36" s="36" t="s">
        <v>216</v>
      </c>
      <c r="E36" s="28" t="s">
        <v>212</v>
      </c>
      <c r="F36" s="29"/>
      <c r="G36" s="55" t="str">
        <f ca="1">IF(LEFT('ヒアリングシート(Windows)'!L241,1)="※","-",'ヒアリングシート(Windows)'!L241)</f>
        <v>-</v>
      </c>
      <c r="H36" s="20"/>
    </row>
    <row r="37" spans="1:9" ht="16">
      <c r="A37" s="9"/>
      <c r="B37" s="9"/>
      <c r="C37" s="25"/>
      <c r="D37" s="32"/>
      <c r="E37" s="33" t="s">
        <v>213</v>
      </c>
      <c r="F37" s="34"/>
      <c r="G37" s="54" t="str">
        <f ca="1">IF(LEFT('ヒアリングシート(Windows)'!L242,1)="※","-",'ヒアリングシート(Windows)'!L242)</f>
        <v>-</v>
      </c>
      <c r="H37" s="18"/>
    </row>
    <row r="38" spans="1:9" ht="16">
      <c r="A38" s="9"/>
      <c r="B38" s="9"/>
      <c r="C38" s="38"/>
      <c r="D38" s="36" t="s">
        <v>622</v>
      </c>
      <c r="E38" s="28" t="s">
        <v>212</v>
      </c>
      <c r="F38" s="29"/>
      <c r="G38" s="56" t="str">
        <f>IF('ヒアリングシート(Windows)'!L246="","-",'ヒアリングシート(Windows)'!L246)</f>
        <v>Backup</v>
      </c>
      <c r="H38" s="20"/>
    </row>
    <row r="39" spans="1:9" ht="16">
      <c r="A39" s="9"/>
      <c r="B39" s="9"/>
      <c r="C39" s="38"/>
      <c r="D39" s="32"/>
      <c r="E39" s="33" t="s">
        <v>213</v>
      </c>
      <c r="F39" s="34"/>
      <c r="G39" s="143" t="str">
        <f>IF('ヒアリングシート(Windows)'!L247="","-",'ヒアリングシート(Windows)'!L247)</f>
        <v>Daily-7day-Retention-JST-0200</v>
      </c>
      <c r="H39" s="18"/>
    </row>
    <row r="40" spans="1:9" ht="16">
      <c r="A40" s="9"/>
      <c r="B40" s="9"/>
      <c r="C40" s="38"/>
      <c r="D40" s="36" t="s">
        <v>617</v>
      </c>
      <c r="E40" s="28" t="s">
        <v>212</v>
      </c>
      <c r="F40" s="29"/>
      <c r="G40" s="56" t="str">
        <f>IF('ヒアリングシート(Windows)'!L251="","-",'ヒアリングシート(Windows)'!L251)</f>
        <v>Cylance</v>
      </c>
      <c r="H40" s="20"/>
    </row>
    <row r="41" spans="1:9" ht="16">
      <c r="A41" s="9"/>
      <c r="B41" s="9"/>
      <c r="C41" s="38"/>
      <c r="D41" s="32"/>
      <c r="E41" s="33" t="s">
        <v>213</v>
      </c>
      <c r="F41" s="34"/>
      <c r="G41" s="143" t="str">
        <f>IF('ヒアリングシート(Windows)'!L252="","-",'ヒアリングシート(Windows)'!L252)</f>
        <v>yes</v>
      </c>
      <c r="H41" s="18"/>
    </row>
    <row r="42" spans="1:9" ht="16">
      <c r="A42" s="9"/>
      <c r="B42" s="9"/>
      <c r="C42" s="38"/>
      <c r="D42" s="36" t="s">
        <v>618</v>
      </c>
      <c r="E42" s="28" t="s">
        <v>212</v>
      </c>
      <c r="F42" s="29"/>
      <c r="G42" s="55" t="str">
        <f ca="1">IF(LEFT('ヒアリングシート(Windows)'!L256,1)="※","-",'ヒアリングシート(Windows)'!L256)</f>
        <v>-</v>
      </c>
      <c r="H42" s="20"/>
    </row>
    <row r="43" spans="1:9" ht="16">
      <c r="A43" s="9"/>
      <c r="B43" s="9"/>
      <c r="C43" s="38"/>
      <c r="D43" s="32"/>
      <c r="E43" s="33" t="s">
        <v>213</v>
      </c>
      <c r="F43" s="34"/>
      <c r="G43" s="54" t="str">
        <f ca="1">IF(LEFT('ヒアリングシート(Windows)'!L257,1)="※","-",'ヒアリングシート(Windows)'!L257)</f>
        <v>-</v>
      </c>
      <c r="H43" s="18"/>
    </row>
    <row r="44" spans="1:9" ht="16">
      <c r="A44" s="9"/>
      <c r="B44" s="9"/>
      <c r="C44" s="38"/>
      <c r="D44" s="36" t="s">
        <v>619</v>
      </c>
      <c r="E44" s="28" t="s">
        <v>212</v>
      </c>
      <c r="F44" s="29"/>
      <c r="G44" s="56" t="str">
        <f>IF('ヒアリングシート(Windows)'!L261="","-",'ヒアリングシート(Windows)'!L261)</f>
        <v>DatadogIntegration</v>
      </c>
      <c r="H44" s="20"/>
    </row>
    <row r="45" spans="1:9" ht="16">
      <c r="A45" s="9"/>
      <c r="B45" s="9"/>
      <c r="C45" s="38"/>
      <c r="D45" s="32"/>
      <c r="E45" s="33" t="s">
        <v>213</v>
      </c>
      <c r="F45" s="34"/>
      <c r="G45" s="143" t="str">
        <f>IF('ヒアリングシート(Windows)'!L262="","-",'ヒアリングシート(Windows)'!L262)</f>
        <v>yes</v>
      </c>
      <c r="H45" s="18"/>
    </row>
    <row r="46" spans="1:9" ht="16">
      <c r="A46" s="9"/>
      <c r="B46" s="9"/>
      <c r="C46" s="38"/>
      <c r="D46" s="36" t="s">
        <v>620</v>
      </c>
      <c r="E46" s="28" t="s">
        <v>212</v>
      </c>
      <c r="F46" s="29"/>
      <c r="G46" s="56" t="str">
        <f>IF('ヒアリングシート(Windows)'!L266="","-",'ヒアリングシート(Windows)'!L266)</f>
        <v>DatadogAgent</v>
      </c>
      <c r="H46" s="20"/>
    </row>
    <row r="47" spans="1:9" ht="16">
      <c r="A47" s="9"/>
      <c r="B47" s="9"/>
      <c r="C47" s="38"/>
      <c r="D47" s="32"/>
      <c r="E47" s="33" t="s">
        <v>213</v>
      </c>
      <c r="F47" s="34"/>
      <c r="G47" s="143" t="str">
        <f>IF('ヒアリングシート(Windows)'!L267="","-",'ヒアリングシート(Windows)'!L267)</f>
        <v>RHEL</v>
      </c>
      <c r="H47" s="18"/>
    </row>
    <row r="48" spans="1:9" ht="16">
      <c r="A48" s="9"/>
      <c r="B48" s="9"/>
      <c r="C48" s="38"/>
      <c r="D48" s="36" t="s">
        <v>1140</v>
      </c>
      <c r="E48" s="28" t="s">
        <v>212</v>
      </c>
      <c r="F48" s="29"/>
      <c r="G48" s="56" t="str">
        <f>IF(LEFT('ヒアリングシート(Windows)'!L271,1)="※","-",'ヒアリングシート(Windows)'!L271)</f>
        <v>OS</v>
      </c>
      <c r="H48" s="20"/>
    </row>
    <row r="49" spans="1:8 16319:16319" ht="16">
      <c r="A49" s="9"/>
      <c r="B49" s="9"/>
      <c r="C49" s="38"/>
      <c r="D49" s="32"/>
      <c r="E49" s="33" t="s">
        <v>213</v>
      </c>
      <c r="F49" s="34"/>
      <c r="G49" s="143" t="str">
        <f>IF(LEFT('ヒアリングシート(Windows)'!L272,1)="※","-",'ヒアリングシート(Windows)'!L272)</f>
        <v>RHEL9.4</v>
      </c>
      <c r="H49" s="18"/>
    </row>
    <row r="50" spans="1:8 16319:16319" ht="16">
      <c r="A50" s="9"/>
      <c r="B50" s="9"/>
      <c r="C50" s="27" t="s">
        <v>217</v>
      </c>
      <c r="D50" s="35"/>
      <c r="E50" s="35"/>
      <c r="F50" s="35"/>
      <c r="G50" s="51"/>
      <c r="H50" s="42"/>
    </row>
    <row r="51" spans="1:8 16319:16319" ht="16">
      <c r="A51" s="9"/>
      <c r="B51" s="9"/>
      <c r="C51" s="25"/>
      <c r="D51" s="36" t="s">
        <v>218</v>
      </c>
      <c r="E51" s="28" t="s">
        <v>219</v>
      </c>
      <c r="F51" s="29"/>
      <c r="G51" s="56">
        <f>'ヒアリングシート(Windows)'!L301</f>
        <v>0</v>
      </c>
      <c r="H51" s="21"/>
    </row>
    <row r="52" spans="1:8 16319:16319" ht="16">
      <c r="A52" s="9"/>
      <c r="B52" s="9"/>
      <c r="C52" s="38"/>
      <c r="D52" s="25"/>
      <c r="E52" s="30" t="s">
        <v>200</v>
      </c>
      <c r="F52" s="31"/>
      <c r="G52" s="46">
        <f>'ヒアリングシート(Windows)'!L113</f>
        <v>0</v>
      </c>
      <c r="H52" s="22"/>
    </row>
    <row r="53" spans="1:8 16319:16319" ht="16">
      <c r="A53" s="9"/>
      <c r="B53" s="9"/>
      <c r="C53" s="38"/>
      <c r="D53" s="25"/>
      <c r="E53" s="30" t="s">
        <v>68</v>
      </c>
      <c r="F53" s="31"/>
      <c r="G53" s="57" t="str">
        <f>'ヒアリングシート(Windows)'!L137</f>
        <v>/dev/sda1</v>
      </c>
      <c r="H53" s="22"/>
    </row>
    <row r="54" spans="1:8 16319:16319" ht="16">
      <c r="A54" s="9"/>
      <c r="B54" s="9"/>
      <c r="C54" s="38"/>
      <c r="D54" s="25"/>
      <c r="E54" s="30" t="s">
        <v>220</v>
      </c>
      <c r="F54" s="31"/>
      <c r="G54" s="104">
        <f>'ヒアリングシート(Windows)'!L138</f>
        <v>0</v>
      </c>
      <c r="H54" s="22"/>
    </row>
    <row r="55" spans="1:8 16319:16319" ht="16">
      <c r="A55" s="9"/>
      <c r="B55" s="9"/>
      <c r="C55" s="38"/>
      <c r="D55" s="25"/>
      <c r="E55" s="30" t="s">
        <v>70</v>
      </c>
      <c r="F55" s="31"/>
      <c r="G55" s="46">
        <f>'ヒアリングシート(Windows)'!L139</f>
        <v>0</v>
      </c>
      <c r="H55" s="22"/>
    </row>
    <row r="56" spans="1:8 16319:16319" ht="16">
      <c r="A56" s="9"/>
      <c r="B56" s="9"/>
      <c r="C56" s="38"/>
      <c r="D56" s="25"/>
      <c r="E56" s="30" t="s">
        <v>72</v>
      </c>
      <c r="F56" s="31"/>
      <c r="G56" s="46">
        <f>'ヒアリングシート(Windows)'!L140</f>
        <v>0</v>
      </c>
      <c r="H56" s="22"/>
    </row>
    <row r="57" spans="1:8 16319:16319" ht="16">
      <c r="A57" s="9"/>
      <c r="B57" s="9"/>
      <c r="C57" s="38"/>
      <c r="D57" s="25"/>
      <c r="E57" s="30" t="s">
        <v>73</v>
      </c>
      <c r="F57" s="31"/>
      <c r="G57" s="46">
        <f>'ヒアリングシート(Windows)'!L141</f>
        <v>0</v>
      </c>
      <c r="H57" s="22"/>
    </row>
    <row r="58" spans="1:8 16319:16319" ht="16">
      <c r="A58" s="9"/>
      <c r="B58" s="9"/>
      <c r="C58" s="38"/>
      <c r="D58" s="25"/>
      <c r="E58" s="30" t="s">
        <v>221</v>
      </c>
      <c r="F58" s="31"/>
      <c r="G58" s="46" t="str">
        <f>'ヒアリングシート(Windows)'!L302</f>
        <v>暗号化済み</v>
      </c>
      <c r="H58" s="22"/>
    </row>
    <row r="59" spans="1:8 16319:16319" ht="16">
      <c r="A59" s="9"/>
      <c r="B59" s="9"/>
      <c r="C59" s="38"/>
      <c r="D59" s="25"/>
      <c r="E59" s="30" t="s">
        <v>222</v>
      </c>
      <c r="F59" s="31"/>
      <c r="G59" s="125" t="str">
        <f>'ヒアリングシート(Windows)'!L143</f>
        <v>aws/ebs</v>
      </c>
      <c r="H59" s="22"/>
    </row>
    <row r="60" spans="1:8 16319:16319" ht="16">
      <c r="A60" s="9"/>
      <c r="B60" s="9"/>
      <c r="C60" s="38"/>
      <c r="D60" s="25"/>
      <c r="E60" s="36" t="s">
        <v>211</v>
      </c>
      <c r="F60" s="37" t="s">
        <v>212</v>
      </c>
      <c r="G60" s="141" t="str">
        <f ca="1">IF(LEFT('ヒアリングシート(Windows)'!L303,1)="※","",'ヒアリングシート(Windows)'!L303)</f>
        <v/>
      </c>
      <c r="H60" s="142"/>
    </row>
    <row r="61" spans="1:8 16319:16319" ht="16">
      <c r="A61" s="9"/>
      <c r="B61" s="9"/>
      <c r="C61" s="38"/>
      <c r="D61" s="25"/>
      <c r="E61" s="32"/>
      <c r="F61" s="39" t="s">
        <v>213</v>
      </c>
      <c r="G61" s="143"/>
      <c r="H61" s="19"/>
      <c r="XCQ61" s="23"/>
    </row>
    <row r="62" spans="1:8 16319:16319" ht="16">
      <c r="A62" s="9"/>
      <c r="B62" s="9"/>
      <c r="C62" s="38"/>
      <c r="D62" s="25"/>
      <c r="E62" s="36" t="s">
        <v>214</v>
      </c>
      <c r="F62" s="37" t="s">
        <v>212</v>
      </c>
      <c r="G62" s="125" t="str">
        <f ca="1">IF(LEFT('ヒアリングシート(Windows)'!L305,1)="※","",'ヒアリングシート(Windows)'!L305)</f>
        <v/>
      </c>
      <c r="H62" s="22"/>
    </row>
    <row r="63" spans="1:8 16319:16319" ht="16">
      <c r="A63" s="9"/>
      <c r="B63" s="9"/>
      <c r="C63" s="38"/>
      <c r="D63" s="25"/>
      <c r="E63" s="32"/>
      <c r="F63" s="39" t="s">
        <v>213</v>
      </c>
      <c r="G63" s="54"/>
      <c r="H63" s="19"/>
      <c r="XCQ63" s="23"/>
    </row>
    <row r="64" spans="1:8 16319:16319" ht="16">
      <c r="A64" s="9"/>
      <c r="B64" s="9"/>
      <c r="C64" s="38"/>
      <c r="D64" s="25"/>
      <c r="E64" s="36" t="s">
        <v>215</v>
      </c>
      <c r="F64" s="37" t="s">
        <v>212</v>
      </c>
      <c r="G64" s="125" t="str">
        <f ca="1">IF(LEFT('ヒアリングシート(Windows)'!L307,1)="※","",'ヒアリングシート(Windows)'!L307)</f>
        <v/>
      </c>
      <c r="H64" s="22"/>
    </row>
    <row r="65" spans="1:8 16319:16319" ht="16">
      <c r="A65" s="9"/>
      <c r="B65" s="9"/>
      <c r="C65" s="38"/>
      <c r="D65" s="25"/>
      <c r="E65" s="32"/>
      <c r="F65" s="39" t="s">
        <v>213</v>
      </c>
      <c r="G65" s="54" t="str">
        <f ca="1">IF(LEFT('ヒアリングシート(Windows)'!L308,1)="※","",'ヒアリングシート(Windows)'!L308)</f>
        <v/>
      </c>
      <c r="H65" s="19"/>
      <c r="XCQ65" s="23"/>
    </row>
    <row r="66" spans="1:8 16319:16319" ht="16">
      <c r="A66" s="9"/>
      <c r="B66" s="9"/>
      <c r="C66" s="38"/>
      <c r="D66" s="25"/>
      <c r="E66" s="36" t="s">
        <v>216</v>
      </c>
      <c r="F66" s="37" t="s">
        <v>212</v>
      </c>
      <c r="G66" s="125" t="str">
        <f ca="1">IF(LEFT('ヒアリングシート(Windows)'!L309,1)="※","",'ヒアリングシート(Windows)'!L309)</f>
        <v>-</v>
      </c>
      <c r="H66" s="22"/>
    </row>
    <row r="67" spans="1:8 16319:16319" ht="16">
      <c r="A67" s="9"/>
      <c r="B67" s="9"/>
      <c r="C67" s="38"/>
      <c r="D67" s="25"/>
      <c r="E67" s="32"/>
      <c r="F67" s="39" t="s">
        <v>213</v>
      </c>
      <c r="G67" s="54" t="str">
        <f ca="1">IF(LEFT('ヒアリングシート(Windows)'!L310,1)="※","",'ヒアリングシート(Windows)'!L310)</f>
        <v>-</v>
      </c>
      <c r="H67" s="19"/>
      <c r="XCQ67" s="23"/>
    </row>
    <row r="68" spans="1:8 16319:16319" ht="16">
      <c r="A68" s="9"/>
      <c r="B68" s="9"/>
      <c r="C68" s="38"/>
      <c r="D68" s="25"/>
      <c r="E68" s="36" t="s">
        <v>622</v>
      </c>
      <c r="F68" s="37" t="s">
        <v>212</v>
      </c>
      <c r="G68" s="125" t="str">
        <f ca="1">IF(LEFT('ヒアリングシート(Windows)'!L311,1)="※","",'ヒアリングシート(Windows)'!L311)</f>
        <v/>
      </c>
      <c r="H68" s="22"/>
    </row>
    <row r="69" spans="1:8 16319:16319" ht="16">
      <c r="A69" s="9"/>
      <c r="B69" s="9"/>
      <c r="C69" s="38"/>
      <c r="D69" s="25"/>
      <c r="E69" s="32"/>
      <c r="F69" s="39" t="s">
        <v>213</v>
      </c>
      <c r="G69" s="54" t="str">
        <f ca="1">IF(LEFT('ヒアリングシート(Windows)'!L312,1)="※","",'ヒアリングシート(Windows)'!L312)</f>
        <v/>
      </c>
      <c r="H69" s="19"/>
      <c r="XCQ69" s="23"/>
    </row>
    <row r="70" spans="1:8 16319:16319" ht="16">
      <c r="A70" s="9"/>
      <c r="B70" s="9"/>
      <c r="C70" s="25"/>
      <c r="D70" s="36" t="s">
        <v>223</v>
      </c>
      <c r="E70" s="28" t="s">
        <v>219</v>
      </c>
      <c r="F70" s="29"/>
      <c r="G70" s="56" t="str">
        <f>IF(G72="","",'ヒアリングシート(Windows)'!L316)</f>
        <v/>
      </c>
      <c r="H70" s="21"/>
    </row>
    <row r="71" spans="1:8 16319:16319" ht="16">
      <c r="A71" s="9"/>
      <c r="B71" s="9"/>
      <c r="C71" s="38"/>
      <c r="D71" s="25"/>
      <c r="E71" s="30" t="s">
        <v>200</v>
      </c>
      <c r="F71" s="31"/>
      <c r="G71" s="46" t="str">
        <f>IF(G72="","",'ヒアリングシート(Windows)'!L113)</f>
        <v/>
      </c>
      <c r="H71" s="22"/>
    </row>
    <row r="72" spans="1:8 16319:16319" ht="16">
      <c r="A72" s="9"/>
      <c r="B72" s="9"/>
      <c r="C72" s="38"/>
      <c r="D72" s="25"/>
      <c r="E72" s="30" t="s">
        <v>68</v>
      </c>
      <c r="F72" s="31"/>
      <c r="G72" s="57" t="str">
        <f>'ヒアリングシート(Windows)'!L146</f>
        <v/>
      </c>
      <c r="H72" s="22"/>
    </row>
    <row r="73" spans="1:8 16319:16319" ht="16">
      <c r="A73" s="9"/>
      <c r="B73" s="9"/>
      <c r="C73" s="38"/>
      <c r="D73" s="25"/>
      <c r="E73" s="30" t="s">
        <v>220</v>
      </c>
      <c r="F73" s="31"/>
      <c r="G73" s="104" t="str">
        <f>IF(G72="","",'ヒアリングシート(Windows)'!L147)</f>
        <v/>
      </c>
      <c r="H73" s="22"/>
    </row>
    <row r="74" spans="1:8 16319:16319" ht="16">
      <c r="A74" s="9"/>
      <c r="B74" s="9"/>
      <c r="C74" s="38"/>
      <c r="D74" s="25"/>
      <c r="E74" s="30" t="s">
        <v>70</v>
      </c>
      <c r="F74" s="31"/>
      <c r="G74" s="46" t="str">
        <f>IF(G72="","",'ヒアリングシート(Windows)'!L148)</f>
        <v/>
      </c>
      <c r="H74" s="22"/>
    </row>
    <row r="75" spans="1:8 16319:16319" ht="16">
      <c r="A75" s="9"/>
      <c r="B75" s="9"/>
      <c r="C75" s="38"/>
      <c r="D75" s="25"/>
      <c r="E75" s="30" t="s">
        <v>72</v>
      </c>
      <c r="F75" s="31"/>
      <c r="G75" s="46" t="str">
        <f>IF(G72="","",'ヒアリングシート(Windows)'!L149)</f>
        <v/>
      </c>
      <c r="H75" s="22"/>
    </row>
    <row r="76" spans="1:8 16319:16319" ht="16">
      <c r="A76" s="9"/>
      <c r="B76" s="9"/>
      <c r="C76" s="38"/>
      <c r="D76" s="25"/>
      <c r="E76" s="30" t="s">
        <v>73</v>
      </c>
      <c r="F76" s="31"/>
      <c r="G76" s="46" t="str">
        <f>IF(G72="","",'ヒアリングシート(Windows)'!L150)</f>
        <v/>
      </c>
      <c r="H76" s="22"/>
    </row>
    <row r="77" spans="1:8 16319:16319" ht="16">
      <c r="A77" s="9"/>
      <c r="B77" s="9"/>
      <c r="C77" s="38"/>
      <c r="D77" s="25"/>
      <c r="E77" s="30" t="s">
        <v>221</v>
      </c>
      <c r="F77" s="31"/>
      <c r="G77" s="46" t="str">
        <f>IF(G72="","",'ヒアリングシート(Windows)'!L317)</f>
        <v/>
      </c>
      <c r="H77" s="22"/>
    </row>
    <row r="78" spans="1:8 16319:16319" ht="16">
      <c r="A78" s="9"/>
      <c r="B78" s="9"/>
      <c r="C78" s="38"/>
      <c r="D78" s="25"/>
      <c r="E78" s="30" t="s">
        <v>222</v>
      </c>
      <c r="F78" s="31"/>
      <c r="G78" s="125" t="str">
        <f>IF(G72="","",'ヒアリングシート(Windows)'!L152)</f>
        <v/>
      </c>
      <c r="H78" s="22"/>
    </row>
    <row r="79" spans="1:8 16319:16319" ht="16">
      <c r="A79" s="9"/>
      <c r="B79" s="9"/>
      <c r="C79" s="38"/>
      <c r="D79" s="25"/>
      <c r="E79" s="36" t="s">
        <v>211</v>
      </c>
      <c r="F79" s="37" t="s">
        <v>212</v>
      </c>
      <c r="G79" s="141" t="str">
        <f>IF(G72="","",'ヒアリングシート(Windows)'!L318)</f>
        <v/>
      </c>
      <c r="H79" s="142"/>
    </row>
    <row r="80" spans="1:8 16319:16319" ht="16">
      <c r="A80" s="9"/>
      <c r="B80" s="9"/>
      <c r="C80" s="38"/>
      <c r="D80" s="25"/>
      <c r="E80" s="32"/>
      <c r="F80" s="39" t="s">
        <v>213</v>
      </c>
      <c r="G80" s="143" t="str">
        <f>IF(G72="","",'ヒアリングシート(Windows)'!L319)</f>
        <v/>
      </c>
      <c r="H80" s="19"/>
      <c r="XCQ80" s="23"/>
    </row>
    <row r="81" spans="1:8 16319:16319" ht="16">
      <c r="A81" s="9"/>
      <c r="B81" s="9"/>
      <c r="C81" s="38"/>
      <c r="D81" s="25"/>
      <c r="E81" s="36" t="s">
        <v>214</v>
      </c>
      <c r="F81" s="37" t="s">
        <v>212</v>
      </c>
      <c r="G81" s="125" t="str">
        <f>IF(G72="","",'ヒアリングシート(Windows)'!L320)</f>
        <v/>
      </c>
      <c r="H81" s="22"/>
    </row>
    <row r="82" spans="1:8 16319:16319" ht="16">
      <c r="A82" s="9"/>
      <c r="B82" s="9"/>
      <c r="C82" s="38"/>
      <c r="D82" s="25"/>
      <c r="E82" s="32"/>
      <c r="F82" s="39" t="s">
        <v>213</v>
      </c>
      <c r="G82" s="54" t="str">
        <f>IF(G72="","",'ヒアリングシート(Windows)'!L321)</f>
        <v/>
      </c>
      <c r="H82" s="19"/>
      <c r="XCQ82" s="23"/>
    </row>
    <row r="83" spans="1:8 16319:16319" ht="16">
      <c r="A83" s="9"/>
      <c r="B83" s="9"/>
      <c r="C83" s="38"/>
      <c r="D83" s="25"/>
      <c r="E83" s="36" t="s">
        <v>215</v>
      </c>
      <c r="F83" s="37" t="s">
        <v>212</v>
      </c>
      <c r="G83" s="125" t="str">
        <f>IF(G74="","",'ヒアリングシート(Windows)'!L322)</f>
        <v/>
      </c>
      <c r="H83" s="22"/>
    </row>
    <row r="84" spans="1:8 16319:16319" ht="16">
      <c r="A84" s="9"/>
      <c r="B84" s="9"/>
      <c r="C84" s="38"/>
      <c r="D84" s="25"/>
      <c r="E84" s="32"/>
      <c r="F84" s="39" t="s">
        <v>213</v>
      </c>
      <c r="G84" s="54" t="str">
        <f>IF(G74="","",'ヒアリングシート(Windows)'!L323)</f>
        <v/>
      </c>
      <c r="H84" s="19"/>
      <c r="XCQ84" s="23"/>
    </row>
    <row r="85" spans="1:8 16319:16319" ht="16">
      <c r="A85" s="9"/>
      <c r="B85" s="9"/>
      <c r="C85" s="38"/>
      <c r="D85" s="25"/>
      <c r="E85" s="36" t="s">
        <v>216</v>
      </c>
      <c r="F85" s="37" t="s">
        <v>212</v>
      </c>
      <c r="G85" s="125" t="str">
        <f ca="1">IF(LEFT('ヒアリングシート(Windows)'!L324,1)="※","",'ヒアリングシート(Windows)'!L324)</f>
        <v/>
      </c>
      <c r="H85" s="22"/>
    </row>
    <row r="86" spans="1:8 16319:16319" ht="16">
      <c r="A86" s="9"/>
      <c r="B86" s="9"/>
      <c r="C86" s="38"/>
      <c r="D86" s="25"/>
      <c r="E86" s="32"/>
      <c r="F86" s="39" t="s">
        <v>213</v>
      </c>
      <c r="G86" s="54" t="str">
        <f ca="1">IF(LEFT('ヒアリングシート(Windows)'!L325,1)="※","",'ヒアリングシート(Windows)'!L325)</f>
        <v/>
      </c>
      <c r="H86" s="19"/>
      <c r="XCQ86" s="23"/>
    </row>
    <row r="87" spans="1:8 16319:16319" ht="16">
      <c r="A87" s="9"/>
      <c r="B87" s="9"/>
      <c r="C87" s="38"/>
      <c r="D87" s="25"/>
      <c r="E87" s="36" t="s">
        <v>622</v>
      </c>
      <c r="F87" s="37" t="s">
        <v>212</v>
      </c>
      <c r="G87" s="125" t="str">
        <f>IF(LEFT('ヒアリングシート(Windows)'!L326,1)="※","",'ヒアリングシート(Windows)'!L326)</f>
        <v/>
      </c>
      <c r="H87" s="22"/>
    </row>
    <row r="88" spans="1:8 16319:16319" ht="16">
      <c r="A88" s="9"/>
      <c r="B88" s="9"/>
      <c r="C88" s="38"/>
      <c r="D88" s="25"/>
      <c r="E88" s="32"/>
      <c r="F88" s="39" t="s">
        <v>213</v>
      </c>
      <c r="G88" s="54" t="str">
        <f>IF(LEFT('ヒアリングシート(Windows)'!L327,1)="※","",'ヒアリングシート(Windows)'!L327)</f>
        <v/>
      </c>
      <c r="H88" s="19"/>
      <c r="XCQ88" s="23"/>
    </row>
    <row r="89" spans="1:8 16319:16319" ht="16">
      <c r="A89" s="9"/>
      <c r="B89" s="9"/>
      <c r="C89" s="25"/>
      <c r="D89" s="36" t="s">
        <v>224</v>
      </c>
      <c r="E89" s="28" t="s">
        <v>219</v>
      </c>
      <c r="F89" s="29"/>
      <c r="G89" s="56" t="str">
        <f>IF(G91="","",'ヒアリングシート(Windows)'!L331)</f>
        <v/>
      </c>
      <c r="H89" s="21"/>
    </row>
    <row r="90" spans="1:8 16319:16319" ht="16">
      <c r="A90" s="9"/>
      <c r="B90" s="9"/>
      <c r="C90" s="38"/>
      <c r="D90" s="25"/>
      <c r="E90" s="30" t="s">
        <v>200</v>
      </c>
      <c r="F90" s="31"/>
      <c r="G90" s="46" t="str">
        <f>IF(G91="","",'ヒアリングシート(Windows)'!L113)</f>
        <v/>
      </c>
      <c r="H90" s="22"/>
    </row>
    <row r="91" spans="1:8 16319:16319" ht="16">
      <c r="A91" s="9"/>
      <c r="B91" s="9"/>
      <c r="C91" s="38"/>
      <c r="D91" s="25"/>
      <c r="E91" s="30" t="s">
        <v>68</v>
      </c>
      <c r="F91" s="31"/>
      <c r="G91" s="57" t="str">
        <f>'ヒアリングシート(Windows)'!L155</f>
        <v/>
      </c>
      <c r="H91" s="22"/>
    </row>
    <row r="92" spans="1:8 16319:16319" ht="16">
      <c r="A92" s="9"/>
      <c r="B92" s="9"/>
      <c r="C92" s="38"/>
      <c r="D92" s="25"/>
      <c r="E92" s="30" t="s">
        <v>220</v>
      </c>
      <c r="F92" s="31"/>
      <c r="G92" s="104" t="str">
        <f>IF(G91="","",'ヒアリングシート(Windows)'!L156)</f>
        <v/>
      </c>
      <c r="H92" s="22"/>
    </row>
    <row r="93" spans="1:8 16319:16319" ht="16">
      <c r="A93" s="9"/>
      <c r="B93" s="9"/>
      <c r="C93" s="38"/>
      <c r="D93" s="25"/>
      <c r="E93" s="30" t="s">
        <v>70</v>
      </c>
      <c r="F93" s="31"/>
      <c r="G93" s="46" t="str">
        <f>IF(G91="","",'ヒアリングシート(Windows)'!L157)</f>
        <v/>
      </c>
      <c r="H93" s="22"/>
    </row>
    <row r="94" spans="1:8 16319:16319" ht="16">
      <c r="A94" s="9"/>
      <c r="B94" s="9"/>
      <c r="C94" s="38"/>
      <c r="D94" s="25"/>
      <c r="E94" s="30" t="s">
        <v>72</v>
      </c>
      <c r="F94" s="31"/>
      <c r="G94" s="46" t="str">
        <f>IF(G91="","",'ヒアリングシート(Windows)'!L158)</f>
        <v/>
      </c>
      <c r="H94" s="22"/>
    </row>
    <row r="95" spans="1:8 16319:16319" ht="16">
      <c r="A95" s="9"/>
      <c r="B95" s="9"/>
      <c r="C95" s="38"/>
      <c r="D95" s="25"/>
      <c r="E95" s="30" t="s">
        <v>73</v>
      </c>
      <c r="F95" s="31"/>
      <c r="G95" s="46" t="str">
        <f>IF(G91="","",'ヒアリングシート(Windows)'!L159)</f>
        <v/>
      </c>
      <c r="H95" s="22"/>
    </row>
    <row r="96" spans="1:8 16319:16319" ht="16">
      <c r="A96" s="9"/>
      <c r="B96" s="9"/>
      <c r="C96" s="38"/>
      <c r="D96" s="25"/>
      <c r="E96" s="30" t="s">
        <v>221</v>
      </c>
      <c r="F96" s="31"/>
      <c r="G96" s="46" t="str">
        <f>IF(G91="","",'ヒアリングシート(Windows)'!L332)</f>
        <v/>
      </c>
      <c r="H96" s="22"/>
    </row>
    <row r="97" spans="1:8 16319:16319" ht="16">
      <c r="A97" s="9"/>
      <c r="B97" s="9"/>
      <c r="C97" s="38"/>
      <c r="D97" s="25"/>
      <c r="E97" s="30" t="s">
        <v>222</v>
      </c>
      <c r="F97" s="31"/>
      <c r="G97" s="125" t="str">
        <f>IF(G91="","",'ヒアリングシート(Windows)'!L161)</f>
        <v/>
      </c>
      <c r="H97" s="22"/>
    </row>
    <row r="98" spans="1:8 16319:16319" ht="16">
      <c r="A98" s="9"/>
      <c r="B98" s="9"/>
      <c r="C98" s="38"/>
      <c r="D98" s="25"/>
      <c r="E98" s="36" t="s">
        <v>211</v>
      </c>
      <c r="F98" s="37" t="s">
        <v>212</v>
      </c>
      <c r="G98" s="141" t="str">
        <f>IF(G91="","",'ヒアリングシート(Windows)'!L333)</f>
        <v/>
      </c>
      <c r="H98" s="142"/>
    </row>
    <row r="99" spans="1:8 16319:16319" ht="16">
      <c r="A99" s="9"/>
      <c r="B99" s="9"/>
      <c r="C99" s="38"/>
      <c r="D99" s="25"/>
      <c r="E99" s="32"/>
      <c r="F99" s="39" t="s">
        <v>213</v>
      </c>
      <c r="G99" s="143" t="str">
        <f>IF(G91="","",'ヒアリングシート(Windows)'!L334)</f>
        <v/>
      </c>
      <c r="H99" s="19"/>
      <c r="XCQ99" s="23"/>
    </row>
    <row r="100" spans="1:8 16319:16319" ht="16">
      <c r="A100" s="9"/>
      <c r="B100" s="9"/>
      <c r="C100" s="38"/>
      <c r="D100" s="25"/>
      <c r="E100" s="36" t="s">
        <v>214</v>
      </c>
      <c r="F100" s="37" t="s">
        <v>212</v>
      </c>
      <c r="G100" s="125" t="str">
        <f>IF(G91="","",'ヒアリングシート(Windows)'!L335)</f>
        <v/>
      </c>
      <c r="H100" s="22"/>
    </row>
    <row r="101" spans="1:8 16319:16319" ht="16">
      <c r="A101" s="9"/>
      <c r="B101" s="9"/>
      <c r="C101" s="38"/>
      <c r="D101" s="25"/>
      <c r="E101" s="32"/>
      <c r="F101" s="39" t="s">
        <v>213</v>
      </c>
      <c r="G101" s="54" t="str">
        <f>IF(G91="","",'ヒアリングシート(Windows)'!L336)</f>
        <v/>
      </c>
      <c r="H101" s="19"/>
      <c r="XCQ101" s="23"/>
    </row>
    <row r="102" spans="1:8 16319:16319" ht="16">
      <c r="A102" s="9"/>
      <c r="B102" s="9"/>
      <c r="C102" s="38"/>
      <c r="D102" s="25"/>
      <c r="E102" s="36" t="s">
        <v>215</v>
      </c>
      <c r="F102" s="37" t="s">
        <v>212</v>
      </c>
      <c r="G102" s="125" t="str">
        <f>IF(G93="","",'ヒアリングシート(Windows)'!L337)</f>
        <v/>
      </c>
      <c r="H102" s="22"/>
    </row>
    <row r="103" spans="1:8 16319:16319" ht="16">
      <c r="A103" s="9"/>
      <c r="B103" s="9"/>
      <c r="C103" s="38"/>
      <c r="D103" s="25"/>
      <c r="E103" s="32"/>
      <c r="F103" s="39" t="s">
        <v>213</v>
      </c>
      <c r="G103" s="54" t="str">
        <f>IF(G93="","",'ヒアリングシート(Windows)'!L338)</f>
        <v/>
      </c>
      <c r="H103" s="19"/>
      <c r="XCQ103" s="23"/>
    </row>
    <row r="104" spans="1:8 16319:16319" ht="16">
      <c r="A104" s="9"/>
      <c r="B104" s="9"/>
      <c r="C104" s="38"/>
      <c r="D104" s="25"/>
      <c r="E104" s="36" t="s">
        <v>216</v>
      </c>
      <c r="F104" s="37" t="s">
        <v>212</v>
      </c>
      <c r="G104" s="125" t="str">
        <f ca="1">IF(LEFT('ヒアリングシート(Windows)'!L339,1)="※","",'ヒアリングシート(Windows)'!L339)</f>
        <v/>
      </c>
      <c r="H104" s="22"/>
    </row>
    <row r="105" spans="1:8 16319:16319" ht="16">
      <c r="A105" s="9"/>
      <c r="B105" s="9"/>
      <c r="C105" s="38"/>
      <c r="D105" s="25"/>
      <c r="E105" s="32"/>
      <c r="F105" s="39" t="s">
        <v>213</v>
      </c>
      <c r="G105" s="54" t="str">
        <f ca="1">IF(LEFT('ヒアリングシート(Windows)'!L340,1)="※","",'ヒアリングシート(Windows)'!L340)</f>
        <v/>
      </c>
      <c r="H105" s="19"/>
      <c r="XCQ105" s="23"/>
    </row>
    <row r="106" spans="1:8 16319:16319" ht="16">
      <c r="A106" s="9"/>
      <c r="B106" s="9"/>
      <c r="C106" s="38"/>
      <c r="D106" s="25"/>
      <c r="E106" s="36" t="s">
        <v>622</v>
      </c>
      <c r="F106" s="37" t="s">
        <v>212</v>
      </c>
      <c r="G106" s="125" t="str">
        <f>IF(LEFT('ヒアリングシート(Windows)'!L341,1)="※","",'ヒアリングシート(Windows)'!L341)</f>
        <v/>
      </c>
      <c r="H106" s="22"/>
    </row>
    <row r="107" spans="1:8 16319:16319" ht="16">
      <c r="A107" s="9"/>
      <c r="B107" s="9"/>
      <c r="C107" s="38"/>
      <c r="D107" s="25"/>
      <c r="E107" s="32"/>
      <c r="F107" s="39" t="s">
        <v>213</v>
      </c>
      <c r="G107" s="54" t="str">
        <f>IF(LEFT('ヒアリングシート(Windows)'!L342,1)="※","",'ヒアリングシート(Windows)'!L342)</f>
        <v/>
      </c>
      <c r="H107" s="19"/>
      <c r="XCQ107" s="23"/>
    </row>
    <row r="108" spans="1:8 16319:16319" ht="16">
      <c r="A108" s="9"/>
      <c r="B108" s="9"/>
      <c r="C108" s="25"/>
      <c r="D108" s="36" t="s">
        <v>225</v>
      </c>
      <c r="E108" s="28" t="s">
        <v>219</v>
      </c>
      <c r="F108" s="29"/>
      <c r="G108" s="56" t="str">
        <f>IF(G110="","",'ヒアリングシート(Windows)'!L346)</f>
        <v/>
      </c>
      <c r="H108" s="21"/>
    </row>
    <row r="109" spans="1:8 16319:16319" ht="16">
      <c r="A109" s="9"/>
      <c r="B109" s="9"/>
      <c r="C109" s="38"/>
      <c r="D109" s="25"/>
      <c r="E109" s="30" t="s">
        <v>200</v>
      </c>
      <c r="F109" s="31"/>
      <c r="G109" s="46" t="str">
        <f>IF(G110="","",'ヒアリングシート(Windows)'!L113)</f>
        <v/>
      </c>
      <c r="H109" s="22"/>
    </row>
    <row r="110" spans="1:8 16319:16319" ht="16">
      <c r="A110" s="9"/>
      <c r="B110" s="9"/>
      <c r="C110" s="38"/>
      <c r="D110" s="25"/>
      <c r="E110" s="30" t="s">
        <v>68</v>
      </c>
      <c r="F110" s="31"/>
      <c r="G110" s="57" t="str">
        <f>'ヒアリングシート(Windows)'!L164</f>
        <v/>
      </c>
      <c r="H110" s="22"/>
    </row>
    <row r="111" spans="1:8 16319:16319" ht="16">
      <c r="A111" s="9"/>
      <c r="B111" s="9"/>
      <c r="C111" s="38"/>
      <c r="D111" s="25"/>
      <c r="E111" s="30" t="s">
        <v>220</v>
      </c>
      <c r="F111" s="31"/>
      <c r="G111" s="104" t="str">
        <f>IF(G110="","",'ヒアリングシート(Windows)'!L165)</f>
        <v/>
      </c>
      <c r="H111" s="22"/>
    </row>
    <row r="112" spans="1:8 16319:16319" ht="16">
      <c r="A112" s="9"/>
      <c r="B112" s="9"/>
      <c r="C112" s="38"/>
      <c r="D112" s="25"/>
      <c r="E112" s="30" t="s">
        <v>70</v>
      </c>
      <c r="F112" s="31"/>
      <c r="G112" s="46" t="str">
        <f>IF(G110="","",'ヒアリングシート(Windows)'!L166)</f>
        <v/>
      </c>
      <c r="H112" s="22"/>
    </row>
    <row r="113" spans="1:8 16319:16319" ht="16">
      <c r="A113" s="9"/>
      <c r="B113" s="9"/>
      <c r="C113" s="38"/>
      <c r="D113" s="25"/>
      <c r="E113" s="30" t="s">
        <v>72</v>
      </c>
      <c r="F113" s="31"/>
      <c r="G113" s="46" t="str">
        <f>IF(G110="","",'ヒアリングシート(Windows)'!L167)</f>
        <v/>
      </c>
      <c r="H113" s="22"/>
    </row>
    <row r="114" spans="1:8 16319:16319" ht="16">
      <c r="A114" s="9"/>
      <c r="B114" s="9"/>
      <c r="C114" s="38"/>
      <c r="D114" s="25"/>
      <c r="E114" s="30" t="s">
        <v>73</v>
      </c>
      <c r="F114" s="31"/>
      <c r="G114" s="46" t="str">
        <f>IF(G110="","",'ヒアリングシート(Windows)'!L168)</f>
        <v/>
      </c>
      <c r="H114" s="22"/>
    </row>
    <row r="115" spans="1:8 16319:16319" ht="16">
      <c r="A115" s="9"/>
      <c r="B115" s="9"/>
      <c r="C115" s="38"/>
      <c r="D115" s="25"/>
      <c r="E115" s="30" t="s">
        <v>221</v>
      </c>
      <c r="F115" s="31"/>
      <c r="G115" s="46" t="str">
        <f>IF(G110="","",'ヒアリングシート(Windows)'!L347)</f>
        <v/>
      </c>
      <c r="H115" s="22"/>
    </row>
    <row r="116" spans="1:8 16319:16319" ht="16">
      <c r="A116" s="9"/>
      <c r="B116" s="9"/>
      <c r="C116" s="38"/>
      <c r="D116" s="25"/>
      <c r="E116" s="30" t="s">
        <v>222</v>
      </c>
      <c r="F116" s="31"/>
      <c r="G116" s="125" t="str">
        <f>IF(G110="","",'ヒアリングシート(Windows)'!L170)</f>
        <v/>
      </c>
      <c r="H116" s="22"/>
    </row>
    <row r="117" spans="1:8 16319:16319" ht="16">
      <c r="A117" s="9"/>
      <c r="B117" s="9"/>
      <c r="C117" s="38"/>
      <c r="D117" s="25"/>
      <c r="E117" s="36" t="s">
        <v>211</v>
      </c>
      <c r="F117" s="37" t="s">
        <v>212</v>
      </c>
      <c r="G117" s="141" t="str">
        <f>IF(G110="","",'ヒアリングシート(Windows)'!L348)</f>
        <v/>
      </c>
      <c r="H117" s="142"/>
    </row>
    <row r="118" spans="1:8 16319:16319" ht="16">
      <c r="A118" s="9"/>
      <c r="B118" s="9"/>
      <c r="C118" s="38"/>
      <c r="D118" s="25"/>
      <c r="E118" s="32"/>
      <c r="F118" s="39" t="s">
        <v>213</v>
      </c>
      <c r="G118" s="143" t="str">
        <f>IF(G110="","",'ヒアリングシート(Windows)'!L349)</f>
        <v/>
      </c>
      <c r="H118" s="19"/>
      <c r="XCQ118" s="23"/>
    </row>
    <row r="119" spans="1:8 16319:16319" ht="16">
      <c r="A119" s="9"/>
      <c r="B119" s="9"/>
      <c r="C119" s="38"/>
      <c r="D119" s="25"/>
      <c r="E119" s="36" t="s">
        <v>214</v>
      </c>
      <c r="F119" s="37" t="s">
        <v>212</v>
      </c>
      <c r="G119" s="125" t="str">
        <f>IF(G110="","",'ヒアリングシート(Windows)'!L350)</f>
        <v/>
      </c>
      <c r="H119" s="22"/>
    </row>
    <row r="120" spans="1:8 16319:16319" ht="16">
      <c r="A120" s="9"/>
      <c r="B120" s="9"/>
      <c r="C120" s="38"/>
      <c r="D120" s="25"/>
      <c r="E120" s="32"/>
      <c r="F120" s="39" t="s">
        <v>213</v>
      </c>
      <c r="G120" s="54" t="str">
        <f>IF(G110="","",'ヒアリングシート(Windows)'!L351)</f>
        <v/>
      </c>
      <c r="H120" s="19"/>
      <c r="XCQ120" s="23"/>
    </row>
    <row r="121" spans="1:8 16319:16319" ht="16">
      <c r="A121" s="9"/>
      <c r="B121" s="9"/>
      <c r="C121" s="38"/>
      <c r="D121" s="25"/>
      <c r="E121" s="36" t="s">
        <v>215</v>
      </c>
      <c r="F121" s="37" t="s">
        <v>212</v>
      </c>
      <c r="G121" s="125" t="str">
        <f>IF(G112="","",'ヒアリングシート(Windows)'!L352)</f>
        <v/>
      </c>
      <c r="H121" s="22"/>
    </row>
    <row r="122" spans="1:8 16319:16319" ht="16">
      <c r="A122" s="9"/>
      <c r="B122" s="9"/>
      <c r="C122" s="38"/>
      <c r="D122" s="25"/>
      <c r="E122" s="32"/>
      <c r="F122" s="39" t="s">
        <v>213</v>
      </c>
      <c r="G122" s="54" t="str">
        <f>IF(G112="","",'ヒアリングシート(Windows)'!L353)</f>
        <v/>
      </c>
      <c r="H122" s="19"/>
      <c r="XCQ122" s="23"/>
    </row>
    <row r="123" spans="1:8 16319:16319" ht="16">
      <c r="A123" s="9"/>
      <c r="B123" s="9"/>
      <c r="C123" s="38"/>
      <c r="D123" s="25"/>
      <c r="E123" s="36" t="s">
        <v>216</v>
      </c>
      <c r="F123" s="37" t="s">
        <v>212</v>
      </c>
      <c r="G123" s="125" t="str">
        <f ca="1">IF(LEFT('ヒアリングシート(Windows)'!L354,1)="※","",'ヒアリングシート(Windows)'!L354)</f>
        <v/>
      </c>
      <c r="H123" s="22"/>
    </row>
    <row r="124" spans="1:8 16319:16319" ht="16">
      <c r="A124" s="9"/>
      <c r="B124" s="9"/>
      <c r="C124" s="38"/>
      <c r="D124" s="25"/>
      <c r="E124" s="32"/>
      <c r="F124" s="39" t="s">
        <v>213</v>
      </c>
      <c r="G124" s="54" t="str">
        <f ca="1">IF(LEFT('ヒアリングシート(Windows)'!L355,1)="※","",'ヒアリングシート(Windows)'!L355)</f>
        <v/>
      </c>
      <c r="H124" s="19"/>
      <c r="XCQ124" s="23"/>
    </row>
    <row r="125" spans="1:8 16319:16319" ht="16">
      <c r="A125" s="9"/>
      <c r="B125" s="9"/>
      <c r="C125" s="38"/>
      <c r="D125" s="25"/>
      <c r="E125" s="36" t="s">
        <v>622</v>
      </c>
      <c r="F125" s="37" t="s">
        <v>212</v>
      </c>
      <c r="G125" s="125" t="str">
        <f>IF(LEFT('ヒアリングシート(Windows)'!L356,1)="※","",'ヒアリングシート(Windows)'!L356)</f>
        <v/>
      </c>
      <c r="H125" s="22"/>
    </row>
    <row r="126" spans="1:8 16319:16319" ht="16">
      <c r="A126" s="9"/>
      <c r="B126" s="9"/>
      <c r="C126" s="38"/>
      <c r="D126" s="25"/>
      <c r="E126" s="32"/>
      <c r="F126" s="39" t="s">
        <v>213</v>
      </c>
      <c r="G126" s="54" t="str">
        <f>IF(LEFT('ヒアリングシート(Windows)'!L357,1)="※","",'ヒアリングシート(Windows)'!L357)</f>
        <v/>
      </c>
      <c r="H126" s="19"/>
      <c r="XCQ126" s="23"/>
    </row>
    <row r="127" spans="1:8 16319:16319" ht="16">
      <c r="A127" s="9"/>
      <c r="B127" s="9"/>
      <c r="C127" s="25"/>
      <c r="D127" s="36" t="s">
        <v>226</v>
      </c>
      <c r="E127" s="28" t="s">
        <v>219</v>
      </c>
      <c r="F127" s="29"/>
      <c r="G127" s="56" t="str">
        <f>IF(G129="","",'ヒアリングシート(Windows)'!L361)</f>
        <v/>
      </c>
      <c r="H127" s="21"/>
    </row>
    <row r="128" spans="1:8 16319:16319" ht="16">
      <c r="A128" s="9"/>
      <c r="B128" s="9"/>
      <c r="C128" s="38"/>
      <c r="D128" s="25"/>
      <c r="E128" s="30" t="s">
        <v>200</v>
      </c>
      <c r="F128" s="31"/>
      <c r="G128" s="46" t="str">
        <f>IF(G129="","",'ヒアリングシート(Windows)'!L113)</f>
        <v/>
      </c>
      <c r="H128" s="22"/>
    </row>
    <row r="129" spans="1:8 16319:16319" ht="16">
      <c r="A129" s="9"/>
      <c r="B129" s="9"/>
      <c r="C129" s="38"/>
      <c r="D129" s="25"/>
      <c r="E129" s="30" t="s">
        <v>68</v>
      </c>
      <c r="F129" s="31"/>
      <c r="G129" s="57" t="str">
        <f>'ヒアリングシート(Windows)'!L173</f>
        <v/>
      </c>
      <c r="H129" s="22"/>
    </row>
    <row r="130" spans="1:8 16319:16319" ht="16">
      <c r="A130" s="9"/>
      <c r="B130" s="9"/>
      <c r="C130" s="38"/>
      <c r="D130" s="25"/>
      <c r="E130" s="30" t="s">
        <v>220</v>
      </c>
      <c r="F130" s="31"/>
      <c r="G130" s="104" t="str">
        <f>IF(G129="","",'ヒアリングシート(Windows)'!L174)</f>
        <v/>
      </c>
      <c r="H130" s="22"/>
    </row>
    <row r="131" spans="1:8 16319:16319" ht="16">
      <c r="A131" s="9"/>
      <c r="B131" s="9"/>
      <c r="C131" s="38"/>
      <c r="D131" s="25"/>
      <c r="E131" s="30" t="s">
        <v>70</v>
      </c>
      <c r="F131" s="31"/>
      <c r="G131" s="46" t="str">
        <f>IF(G129="","",'ヒアリングシート(Windows)'!L175)</f>
        <v/>
      </c>
      <c r="H131" s="22"/>
    </row>
    <row r="132" spans="1:8 16319:16319" ht="16">
      <c r="A132" s="9"/>
      <c r="B132" s="9"/>
      <c r="C132" s="38"/>
      <c r="D132" s="25"/>
      <c r="E132" s="30" t="s">
        <v>72</v>
      </c>
      <c r="F132" s="31"/>
      <c r="G132" s="46" t="str">
        <f>IF(G129="","",'ヒアリングシート(Windows)'!L176)</f>
        <v/>
      </c>
      <c r="H132" s="22"/>
    </row>
    <row r="133" spans="1:8 16319:16319" ht="16">
      <c r="A133" s="9"/>
      <c r="B133" s="9"/>
      <c r="C133" s="38"/>
      <c r="D133" s="25"/>
      <c r="E133" s="30" t="s">
        <v>73</v>
      </c>
      <c r="F133" s="31"/>
      <c r="G133" s="46" t="str">
        <f>IF(G129="","",'ヒアリングシート(Windows)'!L177)</f>
        <v/>
      </c>
      <c r="H133" s="22"/>
    </row>
    <row r="134" spans="1:8 16319:16319" ht="16">
      <c r="A134" s="9"/>
      <c r="B134" s="9"/>
      <c r="C134" s="38"/>
      <c r="D134" s="25"/>
      <c r="E134" s="30" t="s">
        <v>221</v>
      </c>
      <c r="F134" s="31"/>
      <c r="G134" s="46" t="str">
        <f>IF(G129="","",'ヒアリングシート(Windows)'!L362)</f>
        <v/>
      </c>
      <c r="H134" s="22"/>
    </row>
    <row r="135" spans="1:8 16319:16319" ht="16">
      <c r="A135" s="9"/>
      <c r="B135" s="9"/>
      <c r="C135" s="38"/>
      <c r="D135" s="25"/>
      <c r="E135" s="30" t="s">
        <v>222</v>
      </c>
      <c r="F135" s="31"/>
      <c r="G135" s="125" t="str">
        <f>IF(G129="","",'ヒアリングシート(Windows)'!L179)</f>
        <v/>
      </c>
      <c r="H135" s="22"/>
    </row>
    <row r="136" spans="1:8 16319:16319" ht="16">
      <c r="A136" s="9"/>
      <c r="B136" s="9"/>
      <c r="C136" s="38"/>
      <c r="D136" s="25"/>
      <c r="E136" s="36" t="s">
        <v>211</v>
      </c>
      <c r="F136" s="37" t="s">
        <v>212</v>
      </c>
      <c r="G136" s="141" t="str">
        <f>IF(G129="","",'ヒアリングシート(Windows)'!L363)</f>
        <v/>
      </c>
      <c r="H136" s="142"/>
    </row>
    <row r="137" spans="1:8 16319:16319" ht="16">
      <c r="A137" s="9"/>
      <c r="B137" s="9"/>
      <c r="C137" s="38"/>
      <c r="D137" s="25"/>
      <c r="E137" s="32"/>
      <c r="F137" s="39" t="s">
        <v>213</v>
      </c>
      <c r="G137" s="143" t="str">
        <f>IF(G129="","",'ヒアリングシート(Windows)'!L364)</f>
        <v/>
      </c>
      <c r="H137" s="19"/>
      <c r="XCQ137" s="23"/>
    </row>
    <row r="138" spans="1:8 16319:16319" ht="16">
      <c r="A138" s="9"/>
      <c r="B138" s="9"/>
      <c r="C138" s="38"/>
      <c r="D138" s="25"/>
      <c r="E138" s="36" t="s">
        <v>214</v>
      </c>
      <c r="F138" s="37" t="s">
        <v>212</v>
      </c>
      <c r="G138" s="125" t="str">
        <f>IF(G129="","",'ヒアリングシート(Windows)'!L365)</f>
        <v/>
      </c>
      <c r="H138" s="22"/>
    </row>
    <row r="139" spans="1:8 16319:16319" ht="16">
      <c r="A139" s="9"/>
      <c r="B139" s="9"/>
      <c r="C139" s="38"/>
      <c r="D139" s="25"/>
      <c r="E139" s="32"/>
      <c r="F139" s="39" t="s">
        <v>213</v>
      </c>
      <c r="G139" s="54" t="str">
        <f>IF(G129="","",'ヒアリングシート(Windows)'!L366)</f>
        <v/>
      </c>
      <c r="H139" s="19"/>
      <c r="XCQ139" s="23"/>
    </row>
    <row r="140" spans="1:8 16319:16319" ht="16">
      <c r="A140" s="9"/>
      <c r="B140" s="9"/>
      <c r="C140" s="38"/>
      <c r="D140" s="25"/>
      <c r="E140" s="36" t="s">
        <v>215</v>
      </c>
      <c r="F140" s="37" t="s">
        <v>212</v>
      </c>
      <c r="G140" s="125" t="str">
        <f>IF(G131="","",'ヒアリングシート(Windows)'!L367)</f>
        <v/>
      </c>
      <c r="H140" s="22"/>
    </row>
    <row r="141" spans="1:8 16319:16319" ht="16">
      <c r="A141" s="9"/>
      <c r="B141" s="9"/>
      <c r="C141" s="38"/>
      <c r="D141" s="25"/>
      <c r="E141" s="32"/>
      <c r="F141" s="39" t="s">
        <v>213</v>
      </c>
      <c r="G141" s="54" t="str">
        <f>IF(G131="","",'ヒアリングシート(Windows)'!L368)</f>
        <v/>
      </c>
      <c r="H141" s="19"/>
      <c r="XCQ141" s="23"/>
    </row>
    <row r="142" spans="1:8 16319:16319" ht="16">
      <c r="A142" s="9"/>
      <c r="B142" s="9"/>
      <c r="C142" s="38"/>
      <c r="D142" s="25"/>
      <c r="E142" s="36" t="s">
        <v>216</v>
      </c>
      <c r="F142" s="37" t="s">
        <v>212</v>
      </c>
      <c r="G142" s="125" t="str">
        <f ca="1">IF(LEFT('ヒアリングシート(Windows)'!L369,1)="※","",'ヒアリングシート(Windows)'!L369)</f>
        <v/>
      </c>
      <c r="H142" s="22"/>
    </row>
    <row r="143" spans="1:8 16319:16319" ht="16">
      <c r="A143" s="9"/>
      <c r="B143" s="9"/>
      <c r="C143" s="38"/>
      <c r="D143" s="25"/>
      <c r="E143" s="32"/>
      <c r="F143" s="39" t="s">
        <v>213</v>
      </c>
      <c r="G143" s="54" t="str">
        <f ca="1">IF(LEFT('ヒアリングシート(Windows)'!L370,1)="※","",'ヒアリングシート(Windows)'!L370)</f>
        <v/>
      </c>
      <c r="H143" s="19"/>
      <c r="XCQ143" s="23"/>
    </row>
    <row r="144" spans="1:8 16319:16319" ht="16">
      <c r="A144" s="9"/>
      <c r="B144" s="9"/>
      <c r="C144" s="38"/>
      <c r="D144" s="25"/>
      <c r="E144" s="36" t="s">
        <v>622</v>
      </c>
      <c r="F144" s="37" t="s">
        <v>212</v>
      </c>
      <c r="G144" s="125" t="str">
        <f>IF(LEFT('ヒアリングシート(Windows)'!L371,1)="※","",'ヒアリングシート(Windows)'!L371)</f>
        <v/>
      </c>
      <c r="H144" s="22"/>
    </row>
    <row r="145" spans="1:8 16319:16319" ht="16">
      <c r="A145" s="9"/>
      <c r="B145" s="9"/>
      <c r="C145" s="38"/>
      <c r="D145" s="25"/>
      <c r="E145" s="32"/>
      <c r="F145" s="39" t="s">
        <v>213</v>
      </c>
      <c r="G145" s="54" t="str">
        <f>IF(LEFT('ヒアリングシート(Windows)'!L372,1)="※","",'ヒアリングシート(Windows)'!L372)</f>
        <v/>
      </c>
      <c r="H145" s="19"/>
      <c r="XCQ145" s="23"/>
    </row>
    <row r="146" spans="1:8 16319:16319" ht="16">
      <c r="A146" s="9"/>
      <c r="B146" s="9"/>
      <c r="C146" s="25"/>
      <c r="D146" s="36" t="s">
        <v>227</v>
      </c>
      <c r="E146" s="28" t="s">
        <v>219</v>
      </c>
      <c r="F146" s="29"/>
      <c r="G146" s="56" t="str">
        <f>IF(G148="","",'ヒアリングシート(Windows)'!L376)</f>
        <v/>
      </c>
      <c r="H146" s="21"/>
    </row>
    <row r="147" spans="1:8 16319:16319" ht="16">
      <c r="A147" s="9"/>
      <c r="B147" s="9"/>
      <c r="C147" s="38"/>
      <c r="D147" s="25"/>
      <c r="E147" s="30" t="s">
        <v>200</v>
      </c>
      <c r="F147" s="31"/>
      <c r="G147" s="46" t="str">
        <f>IF(G148="","",'ヒアリングシート(Windows)'!L113)</f>
        <v/>
      </c>
      <c r="H147" s="22"/>
    </row>
    <row r="148" spans="1:8 16319:16319" ht="16">
      <c r="A148" s="9"/>
      <c r="B148" s="9"/>
      <c r="C148" s="38"/>
      <c r="D148" s="25"/>
      <c r="E148" s="30" t="s">
        <v>68</v>
      </c>
      <c r="F148" s="31"/>
      <c r="G148" s="57" t="str">
        <f>'ヒアリングシート(Windows)'!L182</f>
        <v/>
      </c>
      <c r="H148" s="22"/>
    </row>
    <row r="149" spans="1:8 16319:16319" ht="16">
      <c r="A149" s="9"/>
      <c r="B149" s="9"/>
      <c r="C149" s="38"/>
      <c r="D149" s="25"/>
      <c r="E149" s="30" t="s">
        <v>220</v>
      </c>
      <c r="F149" s="31"/>
      <c r="G149" s="104" t="str">
        <f>IF(G148="","",'ヒアリングシート(Windows)'!L183)</f>
        <v/>
      </c>
      <c r="H149" s="22"/>
    </row>
    <row r="150" spans="1:8 16319:16319" ht="16">
      <c r="A150" s="9"/>
      <c r="B150" s="9"/>
      <c r="C150" s="38"/>
      <c r="D150" s="25"/>
      <c r="E150" s="30" t="s">
        <v>70</v>
      </c>
      <c r="F150" s="31"/>
      <c r="G150" s="46" t="str">
        <f>IF(G148="","",'ヒアリングシート(Windows)'!L184)</f>
        <v/>
      </c>
      <c r="H150" s="22"/>
    </row>
    <row r="151" spans="1:8 16319:16319" ht="16">
      <c r="A151" s="9"/>
      <c r="B151" s="9"/>
      <c r="C151" s="38"/>
      <c r="D151" s="25"/>
      <c r="E151" s="30" t="s">
        <v>72</v>
      </c>
      <c r="F151" s="31"/>
      <c r="G151" s="46" t="str">
        <f>IF(G148="","",'ヒアリングシート(Windows)'!L185)</f>
        <v/>
      </c>
      <c r="H151" s="22"/>
    </row>
    <row r="152" spans="1:8 16319:16319" ht="16">
      <c r="A152" s="9"/>
      <c r="B152" s="9"/>
      <c r="C152" s="38"/>
      <c r="D152" s="25"/>
      <c r="E152" s="30" t="s">
        <v>73</v>
      </c>
      <c r="F152" s="31"/>
      <c r="G152" s="46" t="str">
        <f>IF(G148="","",'ヒアリングシート(Windows)'!L186)</f>
        <v/>
      </c>
      <c r="H152" s="22"/>
    </row>
    <row r="153" spans="1:8 16319:16319" ht="16">
      <c r="A153" s="9"/>
      <c r="B153" s="9"/>
      <c r="C153" s="38"/>
      <c r="D153" s="25"/>
      <c r="E153" s="30" t="s">
        <v>221</v>
      </c>
      <c r="F153" s="31"/>
      <c r="G153" s="46" t="str">
        <f>IF(G148="","",'ヒアリングシート(Windows)'!L377)</f>
        <v/>
      </c>
      <c r="H153" s="22"/>
    </row>
    <row r="154" spans="1:8 16319:16319" ht="16">
      <c r="A154" s="9"/>
      <c r="B154" s="9"/>
      <c r="C154" s="38"/>
      <c r="D154" s="25"/>
      <c r="E154" s="30" t="s">
        <v>222</v>
      </c>
      <c r="F154" s="31"/>
      <c r="G154" s="125" t="str">
        <f>IF(G148="","",'ヒアリングシート(Windows)'!L188)</f>
        <v/>
      </c>
      <c r="H154" s="22"/>
    </row>
    <row r="155" spans="1:8 16319:16319" ht="16">
      <c r="A155" s="9"/>
      <c r="B155" s="9"/>
      <c r="C155" s="38"/>
      <c r="D155" s="25"/>
      <c r="E155" s="36" t="s">
        <v>211</v>
      </c>
      <c r="F155" s="37" t="s">
        <v>212</v>
      </c>
      <c r="G155" s="141" t="str">
        <f>IF(G148="","",'ヒアリングシート(Windows)'!L378)</f>
        <v/>
      </c>
      <c r="H155" s="142"/>
    </row>
    <row r="156" spans="1:8 16319:16319" ht="16">
      <c r="A156" s="9"/>
      <c r="B156" s="9"/>
      <c r="C156" s="38"/>
      <c r="D156" s="25"/>
      <c r="E156" s="32"/>
      <c r="F156" s="39" t="s">
        <v>213</v>
      </c>
      <c r="G156" s="143" t="str">
        <f>IF(G148="","",'ヒアリングシート(Windows)'!L379)</f>
        <v/>
      </c>
      <c r="H156" s="19"/>
      <c r="XCQ156" s="23"/>
    </row>
    <row r="157" spans="1:8 16319:16319" ht="16">
      <c r="A157" s="9"/>
      <c r="B157" s="9"/>
      <c r="C157" s="38"/>
      <c r="D157" s="25"/>
      <c r="E157" s="36" t="s">
        <v>214</v>
      </c>
      <c r="F157" s="37" t="s">
        <v>212</v>
      </c>
      <c r="G157" s="125" t="str">
        <f>IF(G148="","",'ヒアリングシート(Windows)'!L380)</f>
        <v/>
      </c>
      <c r="H157" s="22"/>
    </row>
    <row r="158" spans="1:8 16319:16319" ht="16">
      <c r="A158" s="9"/>
      <c r="B158" s="9"/>
      <c r="C158" s="38"/>
      <c r="D158" s="25"/>
      <c r="E158" s="32"/>
      <c r="F158" s="39" t="s">
        <v>213</v>
      </c>
      <c r="G158" s="54" t="str">
        <f>IF(G148="","",'ヒアリングシート(Windows)'!L381)</f>
        <v/>
      </c>
      <c r="H158" s="19"/>
      <c r="XCQ158" s="23"/>
    </row>
    <row r="159" spans="1:8 16319:16319" ht="16">
      <c r="A159" s="9"/>
      <c r="B159" s="9"/>
      <c r="C159" s="38"/>
      <c r="D159" s="25"/>
      <c r="E159" s="36" t="s">
        <v>215</v>
      </c>
      <c r="F159" s="37" t="s">
        <v>212</v>
      </c>
      <c r="G159" s="125" t="str">
        <f>IF(G150="","",'ヒアリングシート(Windows)'!L382)</f>
        <v/>
      </c>
      <c r="H159" s="22"/>
    </row>
    <row r="160" spans="1:8 16319:16319" ht="16">
      <c r="A160" s="9"/>
      <c r="B160" s="9"/>
      <c r="C160" s="38"/>
      <c r="D160" s="25"/>
      <c r="E160" s="32"/>
      <c r="F160" s="39" t="s">
        <v>213</v>
      </c>
      <c r="G160" s="54" t="str">
        <f>IF(G150="","",'ヒアリングシート(Windows)'!L383)</f>
        <v/>
      </c>
      <c r="H160" s="19"/>
      <c r="XCQ160" s="23"/>
    </row>
    <row r="161" spans="1:8 16319:16319" ht="16">
      <c r="A161" s="9"/>
      <c r="B161" s="9"/>
      <c r="C161" s="38"/>
      <c r="D161" s="25"/>
      <c r="E161" s="36" t="s">
        <v>216</v>
      </c>
      <c r="F161" s="37" t="s">
        <v>212</v>
      </c>
      <c r="G161" s="125" t="str">
        <f ca="1">IF(LEFT('ヒアリングシート(Windows)'!L384,1)="※","",'ヒアリングシート(Windows)'!L384)</f>
        <v/>
      </c>
      <c r="H161" s="22"/>
    </row>
    <row r="162" spans="1:8 16319:16319" ht="16">
      <c r="A162" s="9"/>
      <c r="B162" s="9"/>
      <c r="C162" s="38"/>
      <c r="D162" s="25"/>
      <c r="E162" s="32"/>
      <c r="F162" s="39" t="s">
        <v>213</v>
      </c>
      <c r="G162" s="54" t="str">
        <f ca="1">IF(LEFT('ヒアリングシート(Windows)'!L385,1)="※","",'ヒアリングシート(Windows)'!L385)</f>
        <v/>
      </c>
      <c r="H162" s="19"/>
      <c r="XCQ162" s="23"/>
    </row>
    <row r="163" spans="1:8 16319:16319" ht="16">
      <c r="A163" s="9"/>
      <c r="B163" s="9"/>
      <c r="C163" s="38"/>
      <c r="D163" s="25"/>
      <c r="E163" s="36" t="s">
        <v>622</v>
      </c>
      <c r="F163" s="37" t="s">
        <v>212</v>
      </c>
      <c r="G163" s="125" t="str">
        <f>IF(LEFT('ヒアリングシート(Windows)'!L386,1)="※","",'ヒアリングシート(Windows)'!L386)</f>
        <v/>
      </c>
      <c r="H163" s="22"/>
    </row>
    <row r="164" spans="1:8 16319:16319" ht="16">
      <c r="A164" s="9"/>
      <c r="B164" s="9"/>
      <c r="C164" s="38"/>
      <c r="D164" s="25"/>
      <c r="E164" s="32"/>
      <c r="F164" s="39" t="s">
        <v>213</v>
      </c>
      <c r="G164" s="54" t="str">
        <f>IF(LEFT('ヒアリングシート(Windows)'!L387,1)="※","",'ヒアリングシート(Windows)'!L387)</f>
        <v/>
      </c>
      <c r="H164" s="19"/>
      <c r="XCQ164" s="23"/>
    </row>
    <row r="165" spans="1:8 16319:16319" ht="16">
      <c r="A165" s="9"/>
      <c r="B165" s="9"/>
      <c r="C165" s="25"/>
      <c r="D165" s="36" t="s">
        <v>228</v>
      </c>
      <c r="E165" s="28" t="s">
        <v>219</v>
      </c>
      <c r="F165" s="29"/>
      <c r="G165" s="56" t="str">
        <f>IF(G167="","",'ヒアリングシート(Windows)'!L391)</f>
        <v/>
      </c>
      <c r="H165" s="21"/>
    </row>
    <row r="166" spans="1:8 16319:16319" ht="16">
      <c r="A166" s="9"/>
      <c r="B166" s="9"/>
      <c r="C166" s="38"/>
      <c r="D166" s="25"/>
      <c r="E166" s="30" t="s">
        <v>200</v>
      </c>
      <c r="F166" s="31"/>
      <c r="G166" s="46" t="str">
        <f>IF(G167="","",'ヒアリングシート(Windows)'!L113)</f>
        <v/>
      </c>
      <c r="H166" s="22"/>
    </row>
    <row r="167" spans="1:8 16319:16319" ht="16">
      <c r="A167" s="9"/>
      <c r="B167" s="9"/>
      <c r="C167" s="38"/>
      <c r="D167" s="25"/>
      <c r="E167" s="30" t="s">
        <v>68</v>
      </c>
      <c r="F167" s="31"/>
      <c r="G167" s="57" t="str">
        <f>'ヒアリングシート(Windows)'!L191</f>
        <v/>
      </c>
      <c r="H167" s="22"/>
    </row>
    <row r="168" spans="1:8 16319:16319" ht="16">
      <c r="A168" s="9"/>
      <c r="B168" s="9"/>
      <c r="C168" s="38"/>
      <c r="D168" s="25"/>
      <c r="E168" s="30" t="s">
        <v>220</v>
      </c>
      <c r="F168" s="31"/>
      <c r="G168" s="104" t="str">
        <f>IF(G167="","",'ヒアリングシート(Windows)'!L192)</f>
        <v/>
      </c>
      <c r="H168" s="22"/>
    </row>
    <row r="169" spans="1:8 16319:16319" ht="16">
      <c r="A169" s="9"/>
      <c r="B169" s="9"/>
      <c r="C169" s="38"/>
      <c r="D169" s="25"/>
      <c r="E169" s="30" t="s">
        <v>70</v>
      </c>
      <c r="F169" s="31"/>
      <c r="G169" s="46" t="str">
        <f>IF(G167="","",'ヒアリングシート(Windows)'!L193)</f>
        <v/>
      </c>
      <c r="H169" s="22"/>
    </row>
    <row r="170" spans="1:8 16319:16319" ht="16">
      <c r="A170" s="9"/>
      <c r="B170" s="9"/>
      <c r="C170" s="38"/>
      <c r="D170" s="25"/>
      <c r="E170" s="30" t="s">
        <v>72</v>
      </c>
      <c r="F170" s="31"/>
      <c r="G170" s="46" t="str">
        <f>IF(G167="","",'ヒアリングシート(Windows)'!L194)</f>
        <v/>
      </c>
      <c r="H170" s="22"/>
    </row>
    <row r="171" spans="1:8 16319:16319" ht="16">
      <c r="A171" s="9"/>
      <c r="B171" s="9"/>
      <c r="C171" s="38"/>
      <c r="D171" s="25"/>
      <c r="E171" s="30" t="s">
        <v>73</v>
      </c>
      <c r="F171" s="31"/>
      <c r="G171" s="46" t="str">
        <f>IF(G167="","",'ヒアリングシート(Windows)'!L195)</f>
        <v/>
      </c>
      <c r="H171" s="22"/>
    </row>
    <row r="172" spans="1:8 16319:16319" ht="16">
      <c r="A172" s="9"/>
      <c r="B172" s="9"/>
      <c r="C172" s="38"/>
      <c r="D172" s="25"/>
      <c r="E172" s="30" t="s">
        <v>221</v>
      </c>
      <c r="F172" s="31"/>
      <c r="G172" s="46" t="str">
        <f>IF(G167="","",'ヒアリングシート(Windows)'!L392)</f>
        <v/>
      </c>
      <c r="H172" s="22"/>
    </row>
    <row r="173" spans="1:8 16319:16319" ht="16">
      <c r="A173" s="9"/>
      <c r="B173" s="9"/>
      <c r="C173" s="38"/>
      <c r="D173" s="25"/>
      <c r="E173" s="30" t="s">
        <v>222</v>
      </c>
      <c r="F173" s="31"/>
      <c r="G173" s="125" t="str">
        <f>IF(G167="","",'ヒアリングシート(Windows)'!L197)</f>
        <v/>
      </c>
      <c r="H173" s="22"/>
    </row>
    <row r="174" spans="1:8 16319:16319" ht="16">
      <c r="A174" s="9"/>
      <c r="B174" s="9"/>
      <c r="C174" s="38"/>
      <c r="D174" s="25"/>
      <c r="E174" s="36" t="s">
        <v>211</v>
      </c>
      <c r="F174" s="37" t="s">
        <v>212</v>
      </c>
      <c r="G174" s="141" t="str">
        <f>IF(G167="","",'ヒアリングシート(Windows)'!L393)</f>
        <v/>
      </c>
      <c r="H174" s="142"/>
    </row>
    <row r="175" spans="1:8 16319:16319" ht="16">
      <c r="A175" s="9"/>
      <c r="B175" s="9"/>
      <c r="C175" s="38"/>
      <c r="D175" s="25"/>
      <c r="E175" s="32"/>
      <c r="F175" s="39" t="s">
        <v>213</v>
      </c>
      <c r="G175" s="143" t="str">
        <f>IF(G167="","",'ヒアリングシート(Windows)'!L394)</f>
        <v/>
      </c>
      <c r="H175" s="19"/>
      <c r="XCQ175" s="23"/>
    </row>
    <row r="176" spans="1:8 16319:16319" ht="16">
      <c r="A176" s="9"/>
      <c r="B176" s="9"/>
      <c r="C176" s="38"/>
      <c r="D176" s="25"/>
      <c r="E176" s="36" t="s">
        <v>214</v>
      </c>
      <c r="F176" s="37" t="s">
        <v>212</v>
      </c>
      <c r="G176" s="125" t="str">
        <f>IF(G167="","",'ヒアリングシート(Windows)'!L395)</f>
        <v/>
      </c>
      <c r="H176" s="22"/>
    </row>
    <row r="177" spans="1:8 16319:16319" ht="16">
      <c r="A177" s="9"/>
      <c r="B177" s="9"/>
      <c r="C177" s="38"/>
      <c r="D177" s="25"/>
      <c r="E177" s="32"/>
      <c r="F177" s="39" t="s">
        <v>213</v>
      </c>
      <c r="G177" s="54" t="str">
        <f>IF(G167="","",'ヒアリングシート(Windows)'!L396)</f>
        <v/>
      </c>
      <c r="H177" s="19"/>
      <c r="XCQ177" s="23"/>
    </row>
    <row r="178" spans="1:8 16319:16319" ht="16">
      <c r="A178" s="9"/>
      <c r="B178" s="9"/>
      <c r="C178" s="38"/>
      <c r="D178" s="25"/>
      <c r="E178" s="36" t="s">
        <v>215</v>
      </c>
      <c r="F178" s="37" t="s">
        <v>212</v>
      </c>
      <c r="G178" s="125" t="str">
        <f>IF(G169="","",'ヒアリングシート(Windows)'!L397)</f>
        <v/>
      </c>
      <c r="H178" s="22"/>
    </row>
    <row r="179" spans="1:8 16319:16319" ht="16">
      <c r="A179" s="9"/>
      <c r="B179" s="9"/>
      <c r="C179" s="38"/>
      <c r="D179" s="25"/>
      <c r="E179" s="32"/>
      <c r="F179" s="39" t="s">
        <v>213</v>
      </c>
      <c r="G179" s="54" t="str">
        <f>IF(G169="","",'ヒアリングシート(Windows)'!L398)</f>
        <v/>
      </c>
      <c r="H179" s="19"/>
      <c r="XCQ179" s="23"/>
    </row>
    <row r="180" spans="1:8 16319:16319" ht="16">
      <c r="A180" s="9"/>
      <c r="B180" s="9"/>
      <c r="C180" s="38"/>
      <c r="D180" s="25"/>
      <c r="E180" s="36" t="s">
        <v>216</v>
      </c>
      <c r="F180" s="37" t="s">
        <v>212</v>
      </c>
      <c r="G180" s="125" t="str">
        <f ca="1">IF(LEFT('ヒアリングシート(Windows)'!L399,1)="※","",'ヒアリングシート(Windows)'!L399)</f>
        <v/>
      </c>
      <c r="H180" s="22"/>
    </row>
    <row r="181" spans="1:8 16319:16319" ht="16">
      <c r="A181" s="9"/>
      <c r="B181" s="9"/>
      <c r="C181" s="38"/>
      <c r="D181" s="25"/>
      <c r="E181" s="32"/>
      <c r="F181" s="39" t="s">
        <v>213</v>
      </c>
      <c r="G181" s="54" t="str">
        <f ca="1">IF(LEFT('ヒアリングシート(Windows)'!L400,1)="※","",'ヒアリングシート(Windows)'!L400)</f>
        <v/>
      </c>
      <c r="H181" s="19"/>
      <c r="XCQ181" s="23"/>
    </row>
    <row r="182" spans="1:8 16319:16319" ht="16">
      <c r="A182" s="9"/>
      <c r="B182" s="9"/>
      <c r="C182" s="38"/>
      <c r="D182" s="25"/>
      <c r="E182" s="36" t="s">
        <v>622</v>
      </c>
      <c r="F182" s="37" t="s">
        <v>212</v>
      </c>
      <c r="G182" s="125" t="str">
        <f>IF(LEFT('ヒアリングシート(Windows)'!L401,1)="※","",'ヒアリングシート(Windows)'!L401)</f>
        <v/>
      </c>
      <c r="H182" s="22"/>
    </row>
    <row r="183" spans="1:8 16319:16319" ht="16">
      <c r="A183" s="9"/>
      <c r="B183" s="9"/>
      <c r="C183" s="38"/>
      <c r="D183" s="25"/>
      <c r="E183" s="32"/>
      <c r="F183" s="39" t="s">
        <v>213</v>
      </c>
      <c r="G183" s="54" t="str">
        <f>IF(LEFT('ヒアリングシート(Windows)'!L402,1)="※","",'ヒアリングシート(Windows)'!L402)</f>
        <v/>
      </c>
      <c r="H183" s="19"/>
      <c r="XCQ183" s="23"/>
    </row>
    <row r="184" spans="1:8 16319:16319" ht="16">
      <c r="A184" s="9"/>
      <c r="B184" s="9"/>
      <c r="C184" s="25"/>
      <c r="D184" s="36" t="s">
        <v>229</v>
      </c>
      <c r="E184" s="28" t="s">
        <v>219</v>
      </c>
      <c r="F184" s="29"/>
      <c r="G184" s="56" t="str">
        <f>IF(G186="","",'ヒアリングシート(Windows)'!L406)</f>
        <v/>
      </c>
      <c r="H184" s="21"/>
    </row>
    <row r="185" spans="1:8 16319:16319" ht="16">
      <c r="A185" s="9"/>
      <c r="B185" s="9"/>
      <c r="C185" s="38"/>
      <c r="D185" s="25"/>
      <c r="E185" s="30" t="s">
        <v>200</v>
      </c>
      <c r="F185" s="31"/>
      <c r="G185" s="46" t="str">
        <f>IF(G186="","",'ヒアリングシート(Windows)'!L113)</f>
        <v/>
      </c>
      <c r="H185" s="22"/>
    </row>
    <row r="186" spans="1:8 16319:16319" ht="16">
      <c r="A186" s="9"/>
      <c r="B186" s="9"/>
      <c r="C186" s="38"/>
      <c r="D186" s="25"/>
      <c r="E186" s="30" t="s">
        <v>68</v>
      </c>
      <c r="F186" s="31"/>
      <c r="G186" s="57" t="str">
        <f>'ヒアリングシート(Windows)'!L200</f>
        <v/>
      </c>
      <c r="H186" s="22"/>
    </row>
    <row r="187" spans="1:8 16319:16319" ht="16">
      <c r="A187" s="9"/>
      <c r="B187" s="9"/>
      <c r="C187" s="38"/>
      <c r="D187" s="25"/>
      <c r="E187" s="30" t="s">
        <v>220</v>
      </c>
      <c r="F187" s="31"/>
      <c r="G187" s="104" t="str">
        <f>IF(G186="","",'ヒアリングシート(Windows)'!L201)</f>
        <v/>
      </c>
      <c r="H187" s="22"/>
    </row>
    <row r="188" spans="1:8 16319:16319" ht="16">
      <c r="A188" s="9"/>
      <c r="B188" s="9"/>
      <c r="C188" s="38"/>
      <c r="D188" s="25"/>
      <c r="E188" s="30" t="s">
        <v>70</v>
      </c>
      <c r="F188" s="31"/>
      <c r="G188" s="46" t="str">
        <f>IF(G186="","",'ヒアリングシート(Windows)'!L202)</f>
        <v/>
      </c>
      <c r="H188" s="22"/>
    </row>
    <row r="189" spans="1:8 16319:16319" ht="16">
      <c r="A189" s="9"/>
      <c r="B189" s="9"/>
      <c r="C189" s="38"/>
      <c r="D189" s="25"/>
      <c r="E189" s="30" t="s">
        <v>72</v>
      </c>
      <c r="F189" s="31"/>
      <c r="G189" s="46" t="str">
        <f>IF(G186="","",'ヒアリングシート(Windows)'!L203)</f>
        <v/>
      </c>
      <c r="H189" s="22"/>
    </row>
    <row r="190" spans="1:8 16319:16319" ht="16">
      <c r="A190" s="9"/>
      <c r="B190" s="9"/>
      <c r="C190" s="38"/>
      <c r="D190" s="25"/>
      <c r="E190" s="30" t="s">
        <v>73</v>
      </c>
      <c r="F190" s="31"/>
      <c r="G190" s="46" t="str">
        <f>IF(G186="","",'ヒアリングシート(Windows)'!L204)</f>
        <v/>
      </c>
      <c r="H190" s="22"/>
    </row>
    <row r="191" spans="1:8 16319:16319" ht="16">
      <c r="A191" s="9"/>
      <c r="B191" s="9"/>
      <c r="C191" s="38"/>
      <c r="D191" s="25"/>
      <c r="E191" s="30" t="s">
        <v>221</v>
      </c>
      <c r="F191" s="31"/>
      <c r="G191" s="46" t="str">
        <f>IF(G186="","",'ヒアリングシート(Windows)'!L407)</f>
        <v/>
      </c>
      <c r="H191" s="22"/>
    </row>
    <row r="192" spans="1:8 16319:16319" ht="16">
      <c r="A192" s="9"/>
      <c r="B192" s="9"/>
      <c r="C192" s="38"/>
      <c r="D192" s="25"/>
      <c r="E192" s="30" t="s">
        <v>222</v>
      </c>
      <c r="F192" s="31"/>
      <c r="G192" s="125" t="str">
        <f>IF(G186="","",'ヒアリングシート(Windows)'!L206)</f>
        <v/>
      </c>
      <c r="H192" s="22"/>
    </row>
    <row r="193" spans="1:8 16319:16319" ht="16">
      <c r="A193" s="9"/>
      <c r="B193" s="9"/>
      <c r="C193" s="38"/>
      <c r="D193" s="25"/>
      <c r="E193" s="36" t="s">
        <v>211</v>
      </c>
      <c r="F193" s="37" t="s">
        <v>212</v>
      </c>
      <c r="G193" s="141" t="str">
        <f>IF(G186="","",'ヒアリングシート(Windows)'!L408)</f>
        <v/>
      </c>
      <c r="H193" s="142"/>
    </row>
    <row r="194" spans="1:8 16319:16319" ht="16">
      <c r="A194" s="9"/>
      <c r="B194" s="9"/>
      <c r="C194" s="38"/>
      <c r="D194" s="25"/>
      <c r="E194" s="32"/>
      <c r="F194" s="39" t="s">
        <v>213</v>
      </c>
      <c r="G194" s="143" t="str">
        <f>IF(G186="","",'ヒアリングシート(Windows)'!L409)</f>
        <v/>
      </c>
      <c r="H194" s="19"/>
      <c r="XCQ194" s="23"/>
    </row>
    <row r="195" spans="1:8 16319:16319" ht="16">
      <c r="A195" s="9"/>
      <c r="B195" s="9"/>
      <c r="C195" s="38"/>
      <c r="D195" s="25"/>
      <c r="E195" s="36" t="s">
        <v>214</v>
      </c>
      <c r="F195" s="37" t="s">
        <v>212</v>
      </c>
      <c r="G195" s="125" t="str">
        <f>IF(G186="","",'ヒアリングシート(Windows)'!L410)</f>
        <v/>
      </c>
      <c r="H195" s="22"/>
    </row>
    <row r="196" spans="1:8 16319:16319" ht="16">
      <c r="A196" s="9"/>
      <c r="B196" s="9"/>
      <c r="C196" s="38"/>
      <c r="D196" s="25"/>
      <c r="E196" s="32"/>
      <c r="F196" s="39" t="s">
        <v>213</v>
      </c>
      <c r="G196" s="54" t="str">
        <f>IF(G186="","",'ヒアリングシート(Windows)'!L411)</f>
        <v/>
      </c>
      <c r="H196" s="19"/>
      <c r="XCQ196" s="23"/>
    </row>
    <row r="197" spans="1:8 16319:16319" ht="16">
      <c r="A197" s="9"/>
      <c r="B197" s="9"/>
      <c r="C197" s="38"/>
      <c r="D197" s="25"/>
      <c r="E197" s="36" t="s">
        <v>215</v>
      </c>
      <c r="F197" s="37" t="s">
        <v>212</v>
      </c>
      <c r="G197" s="125" t="str">
        <f>IF(G188="","",'ヒアリングシート(Windows)'!L412)</f>
        <v/>
      </c>
      <c r="H197" s="22"/>
    </row>
    <row r="198" spans="1:8 16319:16319" ht="16">
      <c r="A198" s="9"/>
      <c r="B198" s="9"/>
      <c r="C198" s="38"/>
      <c r="D198" s="25"/>
      <c r="E198" s="32"/>
      <c r="F198" s="39" t="s">
        <v>213</v>
      </c>
      <c r="G198" s="54" t="str">
        <f>IF(G188="","",'ヒアリングシート(Windows)'!L413)</f>
        <v/>
      </c>
      <c r="H198" s="19"/>
      <c r="XCQ198" s="23"/>
    </row>
    <row r="199" spans="1:8 16319:16319" ht="16">
      <c r="A199" s="9"/>
      <c r="B199" s="9"/>
      <c r="C199" s="38"/>
      <c r="D199" s="25"/>
      <c r="E199" s="36" t="s">
        <v>216</v>
      </c>
      <c r="F199" s="37" t="s">
        <v>212</v>
      </c>
      <c r="G199" s="125" t="str">
        <f ca="1">IF(LEFT('ヒアリングシート(Windows)'!L414,1)="※","",'ヒアリングシート(Windows)'!L414)</f>
        <v/>
      </c>
      <c r="H199" s="22"/>
    </row>
    <row r="200" spans="1:8 16319:16319" ht="16">
      <c r="A200" s="9"/>
      <c r="B200" s="9"/>
      <c r="C200" s="38"/>
      <c r="D200" s="25"/>
      <c r="E200" s="32"/>
      <c r="F200" s="39" t="s">
        <v>213</v>
      </c>
      <c r="G200" s="54" t="str">
        <f ca="1">IF(LEFT('ヒアリングシート(Windows)'!L415,1)="※","",'ヒアリングシート(Windows)'!L415)</f>
        <v/>
      </c>
      <c r="H200" s="19"/>
      <c r="XCQ200" s="23"/>
    </row>
    <row r="201" spans="1:8 16319:16319" ht="16">
      <c r="A201" s="9"/>
      <c r="B201" s="9"/>
      <c r="C201" s="38"/>
      <c r="D201" s="25"/>
      <c r="E201" s="36" t="s">
        <v>622</v>
      </c>
      <c r="F201" s="37" t="s">
        <v>212</v>
      </c>
      <c r="G201" s="125" t="str">
        <f>IF(LEFT('ヒアリングシート(Windows)'!L416,1)="※","",'ヒアリングシート(Windows)'!L416)</f>
        <v/>
      </c>
      <c r="H201" s="22"/>
    </row>
    <row r="202" spans="1:8 16319:16319" ht="16">
      <c r="A202" s="9"/>
      <c r="B202" s="9"/>
      <c r="C202" s="38"/>
      <c r="D202" s="25"/>
      <c r="E202" s="32"/>
      <c r="F202" s="39" t="s">
        <v>213</v>
      </c>
      <c r="G202" s="54" t="str">
        <f>IF(LEFT('ヒアリングシート(Windows)'!L417,1)="※","",'ヒアリングシート(Windows)'!L417)</f>
        <v/>
      </c>
      <c r="H202" s="19"/>
      <c r="XCQ202" s="23"/>
    </row>
    <row r="203" spans="1:8 16319:16319" ht="16">
      <c r="A203" s="9"/>
      <c r="B203" s="9"/>
      <c r="C203" s="25"/>
      <c r="D203" s="36" t="s">
        <v>230</v>
      </c>
      <c r="E203" s="28" t="s">
        <v>219</v>
      </c>
      <c r="F203" s="29"/>
      <c r="G203" s="56" t="str">
        <f>IF(G205="","",'ヒアリングシート(Windows)'!L421)</f>
        <v/>
      </c>
      <c r="H203" s="21"/>
    </row>
    <row r="204" spans="1:8 16319:16319" ht="16">
      <c r="A204" s="9"/>
      <c r="B204" s="9"/>
      <c r="C204" s="38"/>
      <c r="D204" s="25"/>
      <c r="E204" s="30" t="s">
        <v>200</v>
      </c>
      <c r="F204" s="31"/>
      <c r="G204" s="46" t="str">
        <f>IF(G205="","",'ヒアリングシート(Windows)'!L113)</f>
        <v/>
      </c>
      <c r="H204" s="22"/>
    </row>
    <row r="205" spans="1:8 16319:16319" ht="16">
      <c r="A205" s="9"/>
      <c r="B205" s="9"/>
      <c r="C205" s="38"/>
      <c r="D205" s="25"/>
      <c r="E205" s="30" t="s">
        <v>68</v>
      </c>
      <c r="F205" s="31"/>
      <c r="G205" s="57" t="str">
        <f>'ヒアリングシート(Windows)'!L209</f>
        <v/>
      </c>
      <c r="H205" s="22"/>
    </row>
    <row r="206" spans="1:8 16319:16319" ht="16">
      <c r="A206" s="9"/>
      <c r="B206" s="9"/>
      <c r="C206" s="38"/>
      <c r="D206" s="25"/>
      <c r="E206" s="30" t="s">
        <v>220</v>
      </c>
      <c r="F206" s="31"/>
      <c r="G206" s="104" t="str">
        <f>IF(G205="","",'ヒアリングシート(Windows)'!L210)</f>
        <v/>
      </c>
      <c r="H206" s="22"/>
    </row>
    <row r="207" spans="1:8 16319:16319" ht="16">
      <c r="A207" s="9"/>
      <c r="B207" s="9"/>
      <c r="C207" s="38"/>
      <c r="D207" s="25"/>
      <c r="E207" s="30" t="s">
        <v>70</v>
      </c>
      <c r="F207" s="31"/>
      <c r="G207" s="46" t="str">
        <f>IF(G205="","",'ヒアリングシート(Windows)'!L211)</f>
        <v/>
      </c>
      <c r="H207" s="22"/>
    </row>
    <row r="208" spans="1:8 16319:16319" ht="16">
      <c r="A208" s="9"/>
      <c r="B208" s="9"/>
      <c r="C208" s="38"/>
      <c r="D208" s="25"/>
      <c r="E208" s="30" t="s">
        <v>72</v>
      </c>
      <c r="F208" s="31"/>
      <c r="G208" s="46" t="str">
        <f>IF(G205="","",'ヒアリングシート(Windows)'!L212)</f>
        <v/>
      </c>
      <c r="H208" s="22"/>
    </row>
    <row r="209" spans="1:8 16319:16319" ht="16">
      <c r="A209" s="9"/>
      <c r="B209" s="9"/>
      <c r="C209" s="38"/>
      <c r="D209" s="25"/>
      <c r="E209" s="30" t="s">
        <v>73</v>
      </c>
      <c r="F209" s="31"/>
      <c r="G209" s="46" t="str">
        <f>IF(G205="","",'ヒアリングシート(Windows)'!L213)</f>
        <v/>
      </c>
      <c r="H209" s="22"/>
    </row>
    <row r="210" spans="1:8 16319:16319" ht="16">
      <c r="A210" s="9"/>
      <c r="B210" s="9"/>
      <c r="C210" s="38"/>
      <c r="D210" s="25"/>
      <c r="E210" s="30" t="s">
        <v>221</v>
      </c>
      <c r="F210" s="31"/>
      <c r="G210" s="46" t="str">
        <f>IF(G205="","",'ヒアリングシート(Windows)'!L422)</f>
        <v/>
      </c>
      <c r="H210" s="22"/>
    </row>
    <row r="211" spans="1:8 16319:16319" ht="16">
      <c r="A211" s="9"/>
      <c r="B211" s="9"/>
      <c r="C211" s="38"/>
      <c r="D211" s="25"/>
      <c r="E211" s="30" t="s">
        <v>222</v>
      </c>
      <c r="F211" s="31"/>
      <c r="G211" s="125" t="str">
        <f>IF(G205="","",'ヒアリングシート(Windows)'!L215)</f>
        <v/>
      </c>
      <c r="H211" s="22"/>
    </row>
    <row r="212" spans="1:8 16319:16319" ht="16">
      <c r="A212" s="9"/>
      <c r="B212" s="9"/>
      <c r="C212" s="38"/>
      <c r="D212" s="25"/>
      <c r="E212" s="36" t="s">
        <v>211</v>
      </c>
      <c r="F212" s="37" t="s">
        <v>212</v>
      </c>
      <c r="G212" s="141" t="str">
        <f>IF(G205="","",'ヒアリングシート(Windows)'!L423)</f>
        <v/>
      </c>
      <c r="H212" s="142"/>
    </row>
    <row r="213" spans="1:8 16319:16319" ht="16">
      <c r="A213" s="9"/>
      <c r="B213" s="9"/>
      <c r="C213" s="38"/>
      <c r="D213" s="25"/>
      <c r="E213" s="32"/>
      <c r="F213" s="39" t="s">
        <v>213</v>
      </c>
      <c r="G213" s="143" t="str">
        <f>IF(G205="","",'ヒアリングシート(Windows)'!L424)</f>
        <v/>
      </c>
      <c r="H213" s="19"/>
      <c r="XCQ213" s="23"/>
    </row>
    <row r="214" spans="1:8 16319:16319" ht="16">
      <c r="A214" s="9"/>
      <c r="B214" s="9"/>
      <c r="C214" s="38"/>
      <c r="D214" s="25"/>
      <c r="E214" s="36" t="s">
        <v>214</v>
      </c>
      <c r="F214" s="37" t="s">
        <v>212</v>
      </c>
      <c r="G214" s="125" t="str">
        <f>IF(G205="","",'ヒアリングシート(Windows)'!L425)</f>
        <v/>
      </c>
      <c r="H214" s="22"/>
    </row>
    <row r="215" spans="1:8 16319:16319" ht="16">
      <c r="A215" s="9"/>
      <c r="B215" s="9"/>
      <c r="C215" s="38"/>
      <c r="D215" s="25"/>
      <c r="E215" s="32"/>
      <c r="F215" s="39" t="s">
        <v>213</v>
      </c>
      <c r="G215" s="54" t="str">
        <f>IF(G205="","",'ヒアリングシート(Windows)'!L426)</f>
        <v/>
      </c>
      <c r="H215" s="19"/>
      <c r="XCQ215" s="23"/>
    </row>
    <row r="216" spans="1:8 16319:16319" ht="16">
      <c r="A216" s="9"/>
      <c r="B216" s="9"/>
      <c r="C216" s="38"/>
      <c r="D216" s="25"/>
      <c r="E216" s="36" t="s">
        <v>215</v>
      </c>
      <c r="F216" s="37" t="s">
        <v>212</v>
      </c>
      <c r="G216" s="125" t="str">
        <f>IF(G207="","",'ヒアリングシート(Windows)'!L427)</f>
        <v/>
      </c>
      <c r="H216" s="22"/>
    </row>
    <row r="217" spans="1:8 16319:16319" ht="16">
      <c r="A217" s="9"/>
      <c r="B217" s="9"/>
      <c r="C217" s="38"/>
      <c r="D217" s="25"/>
      <c r="E217" s="32"/>
      <c r="F217" s="39" t="s">
        <v>213</v>
      </c>
      <c r="G217" s="54" t="str">
        <f>IF(G207="","",'ヒアリングシート(Windows)'!L428)</f>
        <v/>
      </c>
      <c r="H217" s="19"/>
      <c r="XCQ217" s="23"/>
    </row>
    <row r="218" spans="1:8 16319:16319" ht="16">
      <c r="A218" s="9"/>
      <c r="B218" s="9"/>
      <c r="C218" s="38"/>
      <c r="D218" s="25"/>
      <c r="E218" s="36" t="s">
        <v>216</v>
      </c>
      <c r="F218" s="37" t="s">
        <v>212</v>
      </c>
      <c r="G218" s="125" t="str">
        <f ca="1">IF(LEFT('ヒアリングシート(Windows)'!L429,1)="※","",'ヒアリングシート(Windows)'!L429)</f>
        <v/>
      </c>
      <c r="H218" s="22"/>
    </row>
    <row r="219" spans="1:8 16319:16319" ht="16">
      <c r="A219" s="9"/>
      <c r="B219" s="9"/>
      <c r="C219" s="38"/>
      <c r="D219" s="25"/>
      <c r="E219" s="32"/>
      <c r="F219" s="39" t="s">
        <v>213</v>
      </c>
      <c r="G219" s="54" t="str">
        <f ca="1">IF(LEFT('ヒアリングシート(Windows)'!L430,1)="※","",'ヒアリングシート(Windows)'!L430)</f>
        <v/>
      </c>
      <c r="H219" s="19"/>
      <c r="XCQ219" s="23"/>
    </row>
    <row r="220" spans="1:8 16319:16319" ht="16">
      <c r="A220" s="9"/>
      <c r="B220" s="9"/>
      <c r="C220" s="38"/>
      <c r="D220" s="25"/>
      <c r="E220" s="36" t="s">
        <v>622</v>
      </c>
      <c r="F220" s="37" t="s">
        <v>212</v>
      </c>
      <c r="G220" s="125" t="str">
        <f>IF(LEFT('ヒアリングシート(Windows)'!L431,1)="※","",'ヒアリングシート(Windows)'!L431)</f>
        <v/>
      </c>
      <c r="H220" s="22"/>
    </row>
    <row r="221" spans="1:8 16319:16319" ht="16">
      <c r="A221" s="9"/>
      <c r="B221" s="9"/>
      <c r="C221" s="38"/>
      <c r="D221" s="25"/>
      <c r="E221" s="32"/>
      <c r="F221" s="39" t="s">
        <v>213</v>
      </c>
      <c r="G221" s="54" t="str">
        <f>IF(LEFT('ヒアリングシート(Windows)'!L432,1)="※","",'ヒアリングシート(Windows)'!L432)</f>
        <v/>
      </c>
      <c r="H221" s="19"/>
      <c r="XCQ221" s="23"/>
    </row>
    <row r="222" spans="1:8 16319:16319" ht="16">
      <c r="A222" s="9"/>
      <c r="B222" s="9"/>
      <c r="C222" s="25"/>
      <c r="D222" s="36" t="s">
        <v>231</v>
      </c>
      <c r="E222" s="28" t="s">
        <v>219</v>
      </c>
      <c r="F222" s="29"/>
      <c r="G222" s="56" t="str">
        <f>IF(G224="","",'ヒアリングシート(Windows)'!L436)</f>
        <v/>
      </c>
      <c r="H222" s="21"/>
    </row>
    <row r="223" spans="1:8 16319:16319" ht="16">
      <c r="A223" s="9"/>
      <c r="B223" s="9"/>
      <c r="C223" s="38"/>
      <c r="D223" s="25"/>
      <c r="E223" s="30" t="s">
        <v>200</v>
      </c>
      <c r="F223" s="31"/>
      <c r="G223" s="46" t="str">
        <f>IF(G224="","",'ヒアリングシート(Windows)'!L113)</f>
        <v/>
      </c>
      <c r="H223" s="22"/>
    </row>
    <row r="224" spans="1:8 16319:16319" ht="16">
      <c r="A224" s="9"/>
      <c r="B224" s="9"/>
      <c r="C224" s="38"/>
      <c r="D224" s="25"/>
      <c r="E224" s="30" t="s">
        <v>68</v>
      </c>
      <c r="F224" s="31"/>
      <c r="G224" s="57" t="str">
        <f>'ヒアリングシート(Windows)'!L218</f>
        <v/>
      </c>
      <c r="H224" s="22"/>
    </row>
    <row r="225" spans="1:8 16319:16319" ht="16">
      <c r="A225" s="9"/>
      <c r="B225" s="9"/>
      <c r="C225" s="38"/>
      <c r="D225" s="25"/>
      <c r="E225" s="30" t="s">
        <v>220</v>
      </c>
      <c r="F225" s="31"/>
      <c r="G225" s="104" t="str">
        <f>IF(G224="","",'ヒアリングシート(Windows)'!L219)</f>
        <v/>
      </c>
      <c r="H225" s="22"/>
    </row>
    <row r="226" spans="1:8 16319:16319" ht="16">
      <c r="A226" s="9"/>
      <c r="B226" s="9"/>
      <c r="C226" s="38"/>
      <c r="D226" s="25"/>
      <c r="E226" s="30" t="s">
        <v>70</v>
      </c>
      <c r="F226" s="31"/>
      <c r="G226" s="46" t="str">
        <f>IF(G224="","",'ヒアリングシート(Windows)'!L220)</f>
        <v/>
      </c>
      <c r="H226" s="22"/>
    </row>
    <row r="227" spans="1:8 16319:16319" ht="16">
      <c r="A227" s="9"/>
      <c r="B227" s="9"/>
      <c r="C227" s="38"/>
      <c r="D227" s="25"/>
      <c r="E227" s="30" t="s">
        <v>72</v>
      </c>
      <c r="F227" s="31"/>
      <c r="G227" s="46" t="str">
        <f>IF(G224="","",'ヒアリングシート(Windows)'!L221)</f>
        <v/>
      </c>
      <c r="H227" s="22"/>
    </row>
    <row r="228" spans="1:8 16319:16319" ht="16">
      <c r="A228" s="9"/>
      <c r="B228" s="9"/>
      <c r="C228" s="38"/>
      <c r="D228" s="25"/>
      <c r="E228" s="30" t="s">
        <v>73</v>
      </c>
      <c r="F228" s="31"/>
      <c r="G228" s="46" t="str">
        <f>IF(G224="","",'ヒアリングシート(Windows)'!L222)</f>
        <v/>
      </c>
      <c r="H228" s="22"/>
    </row>
    <row r="229" spans="1:8 16319:16319" ht="16">
      <c r="A229" s="9"/>
      <c r="B229" s="9"/>
      <c r="C229" s="38"/>
      <c r="D229" s="25"/>
      <c r="E229" s="30" t="s">
        <v>221</v>
      </c>
      <c r="F229" s="31"/>
      <c r="G229" s="46" t="str">
        <f>IF(G224="","",'ヒアリングシート(Windows)'!L437)</f>
        <v/>
      </c>
      <c r="H229" s="22"/>
    </row>
    <row r="230" spans="1:8 16319:16319" ht="16">
      <c r="A230" s="9"/>
      <c r="B230" s="9"/>
      <c r="C230" s="38"/>
      <c r="D230" s="25"/>
      <c r="E230" s="30" t="s">
        <v>222</v>
      </c>
      <c r="F230" s="31"/>
      <c r="G230" s="125" t="str">
        <f>IF(G224="","",'ヒアリングシート(Windows)'!L224)</f>
        <v/>
      </c>
      <c r="H230" s="22"/>
    </row>
    <row r="231" spans="1:8 16319:16319" ht="16">
      <c r="A231" s="9"/>
      <c r="B231" s="9"/>
      <c r="C231" s="38"/>
      <c r="D231" s="25"/>
      <c r="E231" s="36" t="s">
        <v>211</v>
      </c>
      <c r="F231" s="37" t="s">
        <v>212</v>
      </c>
      <c r="G231" s="141" t="str">
        <f>IF(G224="","",'ヒアリングシート(Windows)'!L438)</f>
        <v/>
      </c>
      <c r="H231" s="142"/>
    </row>
    <row r="232" spans="1:8 16319:16319" ht="16">
      <c r="A232" s="9"/>
      <c r="B232" s="9"/>
      <c r="C232" s="38"/>
      <c r="D232" s="25"/>
      <c r="E232" s="32"/>
      <c r="F232" s="39" t="s">
        <v>213</v>
      </c>
      <c r="G232" s="143" t="str">
        <f>IF(G224="","",'ヒアリングシート(Windows)'!L439)</f>
        <v/>
      </c>
      <c r="H232" s="19"/>
      <c r="XCQ232" s="23"/>
    </row>
    <row r="233" spans="1:8 16319:16319" ht="16">
      <c r="A233" s="9"/>
      <c r="B233" s="9"/>
      <c r="C233" s="38"/>
      <c r="D233" s="25"/>
      <c r="E233" s="36" t="s">
        <v>214</v>
      </c>
      <c r="F233" s="37" t="s">
        <v>212</v>
      </c>
      <c r="G233" s="125" t="str">
        <f>IF(G224="","",'ヒアリングシート(Windows)'!L440)</f>
        <v/>
      </c>
      <c r="H233" s="22"/>
    </row>
    <row r="234" spans="1:8 16319:16319" ht="16">
      <c r="A234" s="9"/>
      <c r="B234" s="9"/>
      <c r="C234" s="38"/>
      <c r="D234" s="25"/>
      <c r="E234" s="32"/>
      <c r="F234" s="39" t="s">
        <v>213</v>
      </c>
      <c r="G234" s="54" t="str">
        <f>IF(G224="","",'ヒアリングシート(Windows)'!L441)</f>
        <v/>
      </c>
      <c r="H234" s="19"/>
      <c r="XCQ234" s="23"/>
    </row>
    <row r="235" spans="1:8 16319:16319" ht="16">
      <c r="A235" s="9"/>
      <c r="B235" s="9"/>
      <c r="C235" s="38"/>
      <c r="D235" s="25"/>
      <c r="E235" s="36" t="s">
        <v>215</v>
      </c>
      <c r="F235" s="37" t="s">
        <v>212</v>
      </c>
      <c r="G235" s="125" t="str">
        <f>IF(G226="","",'ヒアリングシート(Windows)'!L442)</f>
        <v/>
      </c>
      <c r="H235" s="22"/>
    </row>
    <row r="236" spans="1:8 16319:16319" ht="16">
      <c r="A236" s="9"/>
      <c r="B236" s="9"/>
      <c r="C236" s="38"/>
      <c r="D236" s="25"/>
      <c r="E236" s="32"/>
      <c r="F236" s="39" t="s">
        <v>213</v>
      </c>
      <c r="G236" s="54" t="str">
        <f>IF(G226="","",'ヒアリングシート(Windows)'!L443)</f>
        <v/>
      </c>
      <c r="H236" s="19"/>
      <c r="XCQ236" s="23"/>
    </row>
    <row r="237" spans="1:8 16319:16319" ht="16">
      <c r="A237" s="9"/>
      <c r="B237" s="9"/>
      <c r="C237" s="38"/>
      <c r="D237" s="25"/>
      <c r="E237" s="36" t="s">
        <v>216</v>
      </c>
      <c r="F237" s="37" t="s">
        <v>212</v>
      </c>
      <c r="G237" s="125" t="str">
        <f ca="1">IF(LEFT('ヒアリングシート(Windows)'!L444,1)="※","",'ヒアリングシート(Windows)'!L444)</f>
        <v/>
      </c>
      <c r="H237" s="22"/>
    </row>
    <row r="238" spans="1:8 16319:16319" ht="16">
      <c r="A238" s="9"/>
      <c r="B238" s="9"/>
      <c r="C238" s="38"/>
      <c r="D238" s="25"/>
      <c r="E238" s="32"/>
      <c r="F238" s="39" t="s">
        <v>213</v>
      </c>
      <c r="G238" s="54" t="str">
        <f ca="1">IF(LEFT('ヒアリングシート(Windows)'!L445,1)="※","",'ヒアリングシート(Windows)'!L445)</f>
        <v/>
      </c>
      <c r="H238" s="19"/>
      <c r="XCQ238" s="23"/>
    </row>
    <row r="239" spans="1:8 16319:16319" ht="16">
      <c r="A239" s="9"/>
      <c r="B239" s="9"/>
      <c r="C239" s="38"/>
      <c r="D239" s="25"/>
      <c r="E239" s="36" t="s">
        <v>622</v>
      </c>
      <c r="F239" s="37" t="s">
        <v>212</v>
      </c>
      <c r="G239" s="125" t="str">
        <f>IF(LEFT('ヒアリングシート(Windows)'!L446,1)="※","",'ヒアリングシート(Windows)'!L446)</f>
        <v/>
      </c>
      <c r="H239" s="22"/>
    </row>
    <row r="240" spans="1:8 16319:16319" ht="16">
      <c r="A240" s="9"/>
      <c r="B240" s="9"/>
      <c r="C240" s="268"/>
      <c r="D240" s="32"/>
      <c r="E240" s="32"/>
      <c r="F240" s="39" t="s">
        <v>213</v>
      </c>
      <c r="G240" s="54" t="str">
        <f>IF(LEFT('ヒアリングシート(Windows)'!L447,1)="※","",'ヒアリングシート(Windows)'!L447)</f>
        <v/>
      </c>
      <c r="H240" s="19"/>
      <c r="XCQ240" s="23"/>
    </row>
    <row r="243" spans="1:8" ht="24.5">
      <c r="A243" s="8" t="s">
        <v>793</v>
      </c>
    </row>
    <row r="245" spans="1:8" ht="16">
      <c r="C245" s="253" t="s">
        <v>192</v>
      </c>
      <c r="D245" s="254"/>
      <c r="E245" s="254"/>
      <c r="F245" s="254"/>
      <c r="G245" s="255">
        <v>1</v>
      </c>
      <c r="H245" s="40" t="s">
        <v>100</v>
      </c>
    </row>
    <row r="246" spans="1:8" ht="16">
      <c r="C246" s="256" t="s">
        <v>643</v>
      </c>
      <c r="D246" s="254"/>
      <c r="E246" s="254"/>
      <c r="F246" s="254"/>
      <c r="G246" s="262"/>
      <c r="H246" s="166"/>
    </row>
    <row r="247" spans="1:8">
      <c r="C247" s="257"/>
      <c r="D247" s="253" t="s">
        <v>269</v>
      </c>
      <c r="E247" s="254"/>
      <c r="F247" s="258"/>
      <c r="G247" s="259" t="str">
        <f ca="1">'ヒアリングシート(Windows)'!L547</f>
        <v>※ランドスケープを選択してください。(セル：L11)</v>
      </c>
      <c r="H247" s="264"/>
    </row>
    <row r="248" spans="1:8">
      <c r="C248" s="257"/>
      <c r="D248" s="253" t="s">
        <v>138</v>
      </c>
      <c r="E248" s="254"/>
      <c r="F248" s="258"/>
      <c r="G248" s="259" t="s">
        <v>816</v>
      </c>
      <c r="H248" s="264"/>
    </row>
    <row r="249" spans="1:8">
      <c r="C249" s="257"/>
      <c r="D249" s="253" t="s">
        <v>794</v>
      </c>
      <c r="E249" s="254"/>
      <c r="F249" s="258"/>
      <c r="G249" s="259" t="s">
        <v>815</v>
      </c>
      <c r="H249" s="265"/>
    </row>
    <row r="250" spans="1:8">
      <c r="C250" s="257"/>
      <c r="D250" s="253" t="s">
        <v>795</v>
      </c>
      <c r="E250" s="254"/>
      <c r="F250" s="258"/>
      <c r="G250" s="260" t="s">
        <v>817</v>
      </c>
      <c r="H250" s="266"/>
    </row>
    <row r="251" spans="1:8">
      <c r="C251" s="257"/>
      <c r="D251" s="253" t="s">
        <v>796</v>
      </c>
      <c r="E251" s="254"/>
      <c r="F251" s="258"/>
      <c r="G251" s="260" t="s">
        <v>818</v>
      </c>
      <c r="H251" s="266"/>
    </row>
    <row r="252" spans="1:8">
      <c r="C252" s="257"/>
      <c r="D252" s="253" t="s">
        <v>797</v>
      </c>
      <c r="E252" s="254"/>
      <c r="F252" s="258"/>
      <c r="G252" s="260" t="str">
        <f>'ヒアリングシート(Windows)'!L533</f>
        <v>StatusCheckFailed_System</v>
      </c>
      <c r="H252" s="266"/>
    </row>
    <row r="253" spans="1:8">
      <c r="C253" s="257"/>
      <c r="D253" s="253" t="s">
        <v>798</v>
      </c>
      <c r="E253" s="254"/>
      <c r="F253" s="258"/>
      <c r="G253" s="260">
        <f>'ヒアリングシート(Windows)'!L534</f>
        <v>0</v>
      </c>
      <c r="H253" s="266"/>
    </row>
    <row r="254" spans="1:8">
      <c r="C254" s="257"/>
      <c r="D254" s="253" t="s">
        <v>799</v>
      </c>
      <c r="E254" s="254"/>
      <c r="F254" s="258"/>
      <c r="G254" s="260" t="s">
        <v>814</v>
      </c>
      <c r="H254" s="266"/>
    </row>
    <row r="255" spans="1:8">
      <c r="C255" s="257"/>
      <c r="D255" s="253" t="s">
        <v>800</v>
      </c>
      <c r="E255" s="254"/>
      <c r="F255" s="258"/>
      <c r="G255" s="260" t="s">
        <v>814</v>
      </c>
      <c r="H255" s="266"/>
    </row>
    <row r="256" spans="1:8">
      <c r="C256" s="257"/>
      <c r="D256" s="253" t="s">
        <v>801</v>
      </c>
      <c r="E256" s="254"/>
      <c r="F256" s="258"/>
      <c r="G256" s="260" t="s">
        <v>814</v>
      </c>
      <c r="H256" s="266"/>
    </row>
    <row r="257" spans="3:8">
      <c r="C257" s="257"/>
      <c r="D257" s="253" t="s">
        <v>802</v>
      </c>
      <c r="E257" s="254"/>
      <c r="F257" s="258"/>
      <c r="G257" s="260" t="s">
        <v>814</v>
      </c>
      <c r="H257" s="266"/>
    </row>
    <row r="258" spans="3:8">
      <c r="C258" s="257"/>
      <c r="D258" s="253" t="s">
        <v>803</v>
      </c>
      <c r="E258" s="254"/>
      <c r="F258" s="258"/>
      <c r="G258" s="260" t="s">
        <v>814</v>
      </c>
      <c r="H258" s="266"/>
    </row>
    <row r="259" spans="3:8">
      <c r="C259" s="257"/>
      <c r="D259" s="253" t="s">
        <v>804</v>
      </c>
      <c r="E259" s="254"/>
      <c r="F259" s="258"/>
      <c r="G259" s="260" t="s">
        <v>814</v>
      </c>
      <c r="H259" s="266"/>
    </row>
    <row r="260" spans="3:8">
      <c r="C260" s="257"/>
      <c r="D260" s="253" t="s">
        <v>805</v>
      </c>
      <c r="E260" s="254"/>
      <c r="F260" s="258"/>
      <c r="G260" s="260" t="s">
        <v>814</v>
      </c>
      <c r="H260" s="266"/>
    </row>
    <row r="261" spans="3:8">
      <c r="C261" s="257"/>
      <c r="D261" s="253" t="s">
        <v>806</v>
      </c>
      <c r="E261" s="254"/>
      <c r="F261" s="258"/>
      <c r="G261" s="260" t="str">
        <f ca="1">'ヒアリングシート(Windows)'!L227</f>
        <v>※ランドスケープを選択してください。(セル：L11)</v>
      </c>
      <c r="H261" s="266"/>
    </row>
    <row r="262" spans="3:8">
      <c r="C262" s="257"/>
      <c r="D262" s="253" t="s">
        <v>807</v>
      </c>
      <c r="E262" s="254"/>
      <c r="F262" s="258"/>
      <c r="G262" s="260" t="str">
        <f>'ヒアリングシート(Windows)'!L535</f>
        <v>最小</v>
      </c>
      <c r="H262" s="266"/>
    </row>
    <row r="263" spans="3:8">
      <c r="C263" s="257"/>
      <c r="D263" s="253" t="s">
        <v>808</v>
      </c>
      <c r="E263" s="254"/>
      <c r="F263" s="258"/>
      <c r="G263" s="260" t="str">
        <f>'ヒアリングシート(Windows)'!L536</f>
        <v>1 分</v>
      </c>
      <c r="H263" s="266"/>
    </row>
    <row r="264" spans="3:8">
      <c r="C264" s="257"/>
      <c r="D264" s="253" t="s">
        <v>809</v>
      </c>
      <c r="E264" s="254"/>
      <c r="F264" s="258"/>
      <c r="G264" s="261" t="str">
        <f>'ヒアリングシート(Windows)'!L540</f>
        <v>1/1</v>
      </c>
      <c r="H264" s="266"/>
    </row>
    <row r="265" spans="3:8">
      <c r="C265" s="257"/>
      <c r="D265" s="253" t="s">
        <v>810</v>
      </c>
      <c r="E265" s="254"/>
      <c r="F265" s="258"/>
      <c r="G265" s="260" t="str">
        <f>'ヒアリングシート(Windows)'!L541</f>
        <v>欠落データを見つかりませんとして処理</v>
      </c>
      <c r="H265" s="266"/>
    </row>
    <row r="266" spans="3:8">
      <c r="C266" s="257"/>
      <c r="D266" s="253" t="s">
        <v>811</v>
      </c>
      <c r="E266" s="254"/>
      <c r="F266" s="258"/>
      <c r="G266" s="260" t="s">
        <v>819</v>
      </c>
      <c r="H266" s="266"/>
    </row>
    <row r="267" spans="3:8">
      <c r="C267" s="257"/>
      <c r="D267" s="253" t="s">
        <v>812</v>
      </c>
      <c r="E267" s="254"/>
      <c r="F267" s="258"/>
      <c r="G267" s="260" t="str">
        <f ca="1">IF(LEFT(G247,1)="※","","arn:aws:cloudwatch:ap-northeast-1:"&amp;'ヒアリングシート(Windows)'!L108&amp;":alarm:"&amp;G247)</f>
        <v/>
      </c>
      <c r="H267" s="266"/>
    </row>
    <row r="268" spans="3:8">
      <c r="C268" s="256" t="s">
        <v>813</v>
      </c>
      <c r="D268" s="254"/>
      <c r="E268" s="254"/>
      <c r="F268" s="254"/>
      <c r="G268" s="262"/>
      <c r="H268" s="267"/>
    </row>
    <row r="269" spans="3:8">
      <c r="C269" s="257"/>
      <c r="D269" s="253" t="s">
        <v>138</v>
      </c>
      <c r="E269" s="254"/>
      <c r="F269" s="254"/>
      <c r="G269" s="259" t="str">
        <f>"EC2"</f>
        <v>EC2</v>
      </c>
      <c r="H269" s="259"/>
    </row>
    <row r="270" spans="3:8">
      <c r="C270" s="263"/>
      <c r="D270" s="253" t="s">
        <v>708</v>
      </c>
      <c r="E270" s="254"/>
      <c r="F270" s="254"/>
      <c r="G270" s="260" t="str">
        <f>IF(G253=0,"","アラーム状態のとき、ID「"&amp;'ヒアリングシート(Windows)'!L289&amp;"」を持つインスタンスを復旧")</f>
        <v/>
      </c>
      <c r="H270" s="260"/>
    </row>
  </sheetData>
  <phoneticPr fontId="1"/>
  <conditionalFormatting sqref="G70:G88">
    <cfRule type="expression" dxfId="8" priority="11">
      <formula>$G$72=""</formula>
    </cfRule>
  </conditionalFormatting>
  <conditionalFormatting sqref="G89:G107">
    <cfRule type="expression" dxfId="7" priority="10">
      <formula>$G$91=""</formula>
    </cfRule>
  </conditionalFormatting>
  <conditionalFormatting sqref="G108:G126">
    <cfRule type="expression" dxfId="6" priority="9">
      <formula>$G$110=""</formula>
    </cfRule>
  </conditionalFormatting>
  <conditionalFormatting sqref="G127:G145">
    <cfRule type="expression" dxfId="5" priority="1">
      <formula>$G$129=""</formula>
    </cfRule>
  </conditionalFormatting>
  <conditionalFormatting sqref="G146:G164">
    <cfRule type="expression" dxfId="4" priority="7">
      <formula>$G$148=""</formula>
    </cfRule>
  </conditionalFormatting>
  <conditionalFormatting sqref="G165:G183">
    <cfRule type="expression" dxfId="3" priority="6">
      <formula>$G$167=""</formula>
    </cfRule>
  </conditionalFormatting>
  <conditionalFormatting sqref="G184:G202">
    <cfRule type="expression" dxfId="2" priority="2">
      <formula>$G$186=""</formula>
    </cfRule>
  </conditionalFormatting>
  <conditionalFormatting sqref="G203:G221">
    <cfRule type="expression" dxfId="1" priority="4">
      <formula>$G$205=""</formula>
    </cfRule>
  </conditionalFormatting>
  <conditionalFormatting sqref="G222:G240">
    <cfRule type="expression" dxfId="0" priority="3">
      <formula>$G$224=""</formula>
    </cfRule>
  </conditionalFormatting>
  <pageMargins left="0.19685039370078741" right="0.19685039370078741" top="0.39370078740157483" bottom="0.59055118110236227" header="0.19685039370078741" footer="0.31496062992125984"/>
  <pageSetup paperSize="9" scale="10" fitToHeight="0" orientation="landscape" r:id="rId1"/>
  <headerFooter>
    <oddFooter>&amp;L&amp;F/&amp;A&amp;C&amp;P/&amp;N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45208-87FD-4720-A326-0A1A0BCB864B}">
  <sheetPr codeName="Sheet3"/>
  <dimension ref="A2:L541"/>
  <sheetViews>
    <sheetView showGridLines="0" topLeftCell="A550" workbookViewId="0">
      <selection activeCell="A67" sqref="A67"/>
    </sheetView>
  </sheetViews>
  <sheetFormatPr defaultRowHeight="18"/>
  <cols>
    <col min="1" max="1" width="9.08203125" customWidth="1"/>
    <col min="2" max="2" width="51.33203125" customWidth="1"/>
    <col min="3" max="3" width="40.1640625" bestFit="1" customWidth="1"/>
    <col min="4" max="4" width="62.6640625" bestFit="1" customWidth="1"/>
    <col min="5" max="5" width="28" customWidth="1"/>
    <col min="6" max="6" width="45.83203125" bestFit="1" customWidth="1"/>
    <col min="7" max="7" width="28" customWidth="1"/>
    <col min="8" max="8" width="23.33203125" customWidth="1"/>
    <col min="9" max="9" width="59.4140625" bestFit="1" customWidth="1"/>
    <col min="10" max="10" width="27.1640625" bestFit="1" customWidth="1"/>
    <col min="11" max="11" width="54.33203125" bestFit="1" customWidth="1"/>
  </cols>
  <sheetData>
    <row r="2" spans="1:1">
      <c r="A2" t="s">
        <v>232</v>
      </c>
    </row>
    <row r="17" spans="1:1">
      <c r="A17" t="s">
        <v>233</v>
      </c>
    </row>
    <row r="28" spans="1:1">
      <c r="A28" t="s">
        <v>234</v>
      </c>
    </row>
    <row r="39" spans="1:4">
      <c r="B39" t="s">
        <v>235</v>
      </c>
    </row>
    <row r="42" spans="1:4">
      <c r="A42" t="s">
        <v>236</v>
      </c>
    </row>
    <row r="43" spans="1:4">
      <c r="B43" t="s">
        <v>237</v>
      </c>
    </row>
    <row r="44" spans="1:4">
      <c r="B44" t="s">
        <v>238</v>
      </c>
      <c r="C44" t="s">
        <v>239</v>
      </c>
      <c r="D44" t="s">
        <v>240</v>
      </c>
    </row>
    <row r="45" spans="1:4">
      <c r="B45" t="s">
        <v>862</v>
      </c>
      <c r="C45" t="s">
        <v>863</v>
      </c>
      <c r="D45" t="str">
        <f>アカウント本番外部[[#This Row],[アカウント名]]&amp;" ("&amp;アカウント本番外部[[#This Row],[用途]]&amp;")"</f>
        <v>ebr-mgmt-network ([管理]ネットワーク管理)</v>
      </c>
    </row>
    <row r="46" spans="1:4">
      <c r="B46" t="s">
        <v>241</v>
      </c>
      <c r="C46" t="s">
        <v>242</v>
      </c>
      <c r="D46" t="str">
        <f>アカウント本番外部[[#This Row],[アカウント名]]&amp;" ("&amp;アカウント本番外部[[#This Row],[用途]]&amp;")"</f>
        <v>ebr-serv-standard-prd-external ([本番][外部]スタンダード)</v>
      </c>
    </row>
    <row r="47" spans="1:4">
      <c r="B47" t="s">
        <v>243</v>
      </c>
      <c r="C47" t="s">
        <v>244</v>
      </c>
      <c r="D47" t="str">
        <f>アカウント本番外部[[#This Row],[アカウント名]]&amp;" ("&amp;アカウント本番外部[[#This Row],[用途]]&amp;")"</f>
        <v>ebr-serv-advanced-s4hana-prd-external ([本番][外部]S/4 HANA)</v>
      </c>
    </row>
    <row r="48" spans="1:4">
      <c r="B48" t="s">
        <v>730</v>
      </c>
      <c r="C48" t="s">
        <v>731</v>
      </c>
      <c r="D48" t="str">
        <f>アカウント本番外部[[#This Row],[アカウント名]]&amp;" ("&amp;アカウント本番外部[[#This Row],[用途]]&amp;")"</f>
        <v>ebr-serv-almighty-prd ([本番][外部]オールマイティ)</v>
      </c>
    </row>
    <row r="50" spans="2:4">
      <c r="B50" t="s">
        <v>245</v>
      </c>
    </row>
    <row r="51" spans="2:4">
      <c r="B51" t="s">
        <v>238</v>
      </c>
      <c r="C51" t="s">
        <v>239</v>
      </c>
      <c r="D51" t="s">
        <v>240</v>
      </c>
    </row>
    <row r="52" spans="2:4">
      <c r="B52" t="s">
        <v>246</v>
      </c>
      <c r="C52" t="s">
        <v>247</v>
      </c>
      <c r="D52" t="str">
        <f>アカウント本番内部[[#This Row],[アカウント名]]&amp;" ("&amp;アカウント本番内部[[#This Row],[用途]]&amp;")"</f>
        <v>ebr-serv-monitoring-prd-internal ([本番][内部]運用管理)</v>
      </c>
    </row>
    <row r="53" spans="2:4">
      <c r="B53" t="s">
        <v>248</v>
      </c>
      <c r="C53" t="s">
        <v>249</v>
      </c>
      <c r="D53" t="str">
        <f>アカウント本番内部[[#This Row],[アカウント名]]&amp;" ("&amp;アカウント本番内部[[#This Row],[用途]]&amp;")"</f>
        <v>ebr-serv-standard-prd-internal ([本番][内部]スタンダード)</v>
      </c>
    </row>
    <row r="54" spans="2:4">
      <c r="B54" t="s">
        <v>250</v>
      </c>
      <c r="C54" t="s">
        <v>251</v>
      </c>
      <c r="D54" t="str">
        <f>アカウント本番内部[[#This Row],[アカウント名]]&amp;" ("&amp;アカウント本番内部[[#This Row],[用途]]&amp;")"</f>
        <v>ebr-serv-advanced-s4hana-prd-internal ([本番][内部]S/4 HANA)</v>
      </c>
    </row>
    <row r="55" spans="2:4">
      <c r="B55" t="s">
        <v>252</v>
      </c>
      <c r="C55" t="s">
        <v>253</v>
      </c>
      <c r="D55" t="str">
        <f>アカウント本番内部[[#This Row],[アカウント名]]&amp;" ("&amp;アカウント本番内部[[#This Row],[用途]]&amp;")"</f>
        <v>ebr-serv-advanced-lysithea-prd-internal ([本番][内部]リシテア)</v>
      </c>
    </row>
    <row r="56" spans="2:4">
      <c r="B56" t="s">
        <v>982</v>
      </c>
      <c r="C56" t="s">
        <v>981</v>
      </c>
      <c r="D56" t="str">
        <f>アカウント本番内部[[#This Row],[アカウント名]]&amp;" ("&amp;アカウント本番内部[[#This Row],[用途]]&amp;")"</f>
        <v>ebr-serv-advanced-rpa-prd-internal ([本番][内部]RPA)</v>
      </c>
    </row>
    <row r="57" spans="2:4">
      <c r="B57" t="s">
        <v>984</v>
      </c>
      <c r="C57" t="s">
        <v>983</v>
      </c>
      <c r="D57" t="str">
        <f>アカウント本番内部[[#This Row],[アカウント名]]&amp;" ("&amp;アカウント本番内部[[#This Row],[用途]]&amp;")"</f>
        <v>ebr-serv-advanced-glovia-prd-internal ([本番][内部]GLOVIA)</v>
      </c>
    </row>
    <row r="58" spans="2:4">
      <c r="B58" t="s">
        <v>1060</v>
      </c>
      <c r="C58" t="s">
        <v>1061</v>
      </c>
      <c r="D58" t="str">
        <f>アカウント本番内部[[#This Row],[アカウント名]]&amp;" ("&amp;アカウント本番内部[[#This Row],[用途]]&amp;")"</f>
        <v>ebr-serv-advanced-hrdatawarehouse-prd-internal ([本番][内部]人事データ)</v>
      </c>
    </row>
    <row r="59" spans="2:4">
      <c r="B59" t="s">
        <v>1113</v>
      </c>
      <c r="C59" t="s">
        <v>1129</v>
      </c>
      <c r="D59" t="str">
        <f>アカウント本番内部[[#This Row],[アカウント名]]&amp;" ("&amp;アカウント本番内部[[#This Row],[用途]]&amp;")"</f>
        <v>ebr-serv-advanced-dataplatform-prd-internal ([本番][内部]DataPlatform)</v>
      </c>
    </row>
    <row r="61" spans="2:4">
      <c r="B61" t="s">
        <v>254</v>
      </c>
    </row>
    <row r="62" spans="2:4">
      <c r="B62" t="s">
        <v>238</v>
      </c>
      <c r="C62" t="s">
        <v>239</v>
      </c>
      <c r="D62" t="s">
        <v>240</v>
      </c>
    </row>
    <row r="63" spans="2:4">
      <c r="B63" t="s">
        <v>843</v>
      </c>
      <c r="C63" t="s">
        <v>840</v>
      </c>
      <c r="D63" t="str">
        <f>アカウント開発外部[[#This Row],[アカウント名]]&amp;" ("&amp;アカウント開発外部[[#This Row],[用途]]&amp;")"</f>
        <v>ebr-mgmt-network ([管理]ネットワーク管理)</v>
      </c>
    </row>
    <row r="64" spans="2:4">
      <c r="B64" t="s">
        <v>255</v>
      </c>
      <c r="C64" t="s">
        <v>256</v>
      </c>
      <c r="D64" t="str">
        <f>アカウント開発外部[[#This Row],[アカウント名]]&amp;" ("&amp;アカウント開発外部[[#This Row],[用途]]&amp;")"</f>
        <v>ebr-serv-standard-dev-external ([開発][外部]スタンダード)</v>
      </c>
    </row>
    <row r="65" spans="2:4">
      <c r="B65" t="s">
        <v>257</v>
      </c>
      <c r="C65" t="s">
        <v>258</v>
      </c>
      <c r="D65" t="str">
        <f>アカウント開発外部[[#This Row],[アカウント名]]&amp;" ("&amp;アカウント開発外部[[#This Row],[用途]]&amp;")"</f>
        <v>ebr-serv-advanced-s4hana-dev-external ([開発][外部]S/4 HANA)</v>
      </c>
    </row>
    <row r="66" spans="2:4">
      <c r="B66" t="s">
        <v>732</v>
      </c>
      <c r="C66" t="s">
        <v>733</v>
      </c>
      <c r="D66" t="str">
        <f>アカウント開発外部[[#This Row],[アカウント名]]&amp;" ("&amp;アカウント開発外部[[#This Row],[用途]]&amp;")"</f>
        <v>ebr-serv-almighty-dev ([開発][外部]オールマイティ)</v>
      </c>
    </row>
    <row r="68" spans="2:4">
      <c r="B68" t="s">
        <v>259</v>
      </c>
    </row>
    <row r="69" spans="2:4">
      <c r="B69" t="s">
        <v>238</v>
      </c>
      <c r="C69" t="s">
        <v>239</v>
      </c>
      <c r="D69" t="s">
        <v>240</v>
      </c>
    </row>
    <row r="70" spans="2:4">
      <c r="B70" t="s">
        <v>260</v>
      </c>
      <c r="C70" t="s">
        <v>261</v>
      </c>
      <c r="D70" t="str">
        <f>アカウント開発内部[[#This Row],[アカウント名]]&amp;" ("&amp;アカウント開発内部[[#This Row],[用途]]&amp;")"</f>
        <v>ebr-serv-monitoring-dev-internal ([開発][内部]運用管理)</v>
      </c>
    </row>
    <row r="71" spans="2:4">
      <c r="B71" t="s">
        <v>262</v>
      </c>
      <c r="C71" t="s">
        <v>263</v>
      </c>
      <c r="D71" t="str">
        <f>アカウント開発内部[[#This Row],[アカウント名]]&amp;" ("&amp;アカウント開発内部[[#This Row],[用途]]&amp;")"</f>
        <v>ebr-serv-standard-dev-internal ([開発][内部]スタンダード)</v>
      </c>
    </row>
    <row r="72" spans="2:4">
      <c r="B72" t="s">
        <v>264</v>
      </c>
      <c r="C72" t="s">
        <v>265</v>
      </c>
      <c r="D72" t="str">
        <f>アカウント開発内部[[#This Row],[アカウント名]]&amp;" ("&amp;アカウント開発内部[[#This Row],[用途]]&amp;")"</f>
        <v>ebr-serv-advanced-s4hana-dev-internal ([開発][内部]S/4 HANA)</v>
      </c>
    </row>
    <row r="73" spans="2:4">
      <c r="B73" t="s">
        <v>266</v>
      </c>
      <c r="C73" t="s">
        <v>267</v>
      </c>
      <c r="D73" t="str">
        <f>アカウント開発内部[[#This Row],[アカウント名]]&amp;" ("&amp;アカウント開発内部[[#This Row],[用途]]&amp;")"</f>
        <v>ebr-serv-advanced-lysithea-dev-internal ([開発][内部]リシテア)</v>
      </c>
    </row>
    <row r="74" spans="2:4">
      <c r="B74" t="s">
        <v>988</v>
      </c>
      <c r="C74" t="s">
        <v>987</v>
      </c>
      <c r="D74" t="str">
        <f>アカウント開発内部[[#This Row],[アカウント名]]&amp;" ("&amp;アカウント開発内部[[#This Row],[用途]]&amp;")"</f>
        <v>ebr-serv-advanced-rpa-dev-internal ([開発][内部]RPA)</v>
      </c>
    </row>
    <row r="75" spans="2:4">
      <c r="B75" t="s">
        <v>986</v>
      </c>
      <c r="C75" t="s">
        <v>985</v>
      </c>
      <c r="D75" t="str">
        <f>アカウント開発内部[[#This Row],[アカウント名]]&amp;" ("&amp;アカウント開発内部[[#This Row],[用途]]&amp;")"</f>
        <v>ebr-serv-advanced-glovia-dev-internal ([開発][内部]GLOVIA)</v>
      </c>
    </row>
    <row r="76" spans="2:4">
      <c r="B76" t="s">
        <v>1062</v>
      </c>
      <c r="C76" t="s">
        <v>1063</v>
      </c>
      <c r="D76" t="str">
        <f>アカウント開発内部[[#This Row],[アカウント名]]&amp;" ("&amp;アカウント開発内部[[#This Row],[用途]]&amp;")"</f>
        <v>ebr-serv-advanced-hrdatawarehouse-dev-internal ([開発][内部]人事データ)</v>
      </c>
    </row>
    <row r="77" spans="2:4">
      <c r="B77" t="s">
        <v>1064</v>
      </c>
      <c r="C77" t="s">
        <v>1065</v>
      </c>
      <c r="D77" t="str">
        <f>アカウント開発内部[[#This Row],[アカウント名]]&amp;" ("&amp;アカウント開発内部[[#This Row],[用途]]&amp;")"</f>
        <v>ebr-serv-advanced-fortigatesc01-dev-internal ([開発][内部]Fortigate)</v>
      </c>
    </row>
    <row r="78" spans="2:4">
      <c r="B78" t="s">
        <v>1115</v>
      </c>
      <c r="C78" t="s">
        <v>1116</v>
      </c>
      <c r="D78" t="str">
        <f>アカウント開発内部[[#This Row],[アカウント名]]&amp;" ("&amp;アカウント開発内部[[#This Row],[用途]]&amp;")"</f>
        <v>ebr-serv-advanced-dataplatform-dev-internal ([開発][内部]DataPlatform)</v>
      </c>
    </row>
    <row r="79" spans="2:4">
      <c r="B79" t="s">
        <v>1115</v>
      </c>
      <c r="C79" t="s">
        <v>1168</v>
      </c>
      <c r="D79" t="str">
        <f>アカウント開発内部[[#This Row],[アカウント名]]&amp;" ("&amp;アカウント開発内部[[#This Row],[用途]]&amp;")"</f>
        <v>ebr-serv-advanced-digitaltwin-dev-internal ([開発][内部]DataPlatform)</v>
      </c>
    </row>
    <row r="80" spans="2:4">
      <c r="B80" t="s">
        <v>1115</v>
      </c>
      <c r="C80" t="s">
        <v>1174</v>
      </c>
      <c r="D80" t="str">
        <f>アカウント開発内部[[#This Row],[アカウント名]]&amp;" ("&amp;アカウント開発内部[[#This Row],[用途]]&amp;")"</f>
        <v>ebr-serv-advanced-digitaltwin-prd-internal ([開発][内部]DataPlatform)</v>
      </c>
    </row>
    <row r="82" spans="1:3">
      <c r="A82" t="s">
        <v>268</v>
      </c>
    </row>
    <row r="83" spans="1:3">
      <c r="B83" t="s">
        <v>269</v>
      </c>
      <c r="C83" t="s">
        <v>270</v>
      </c>
    </row>
    <row r="84" spans="1:3">
      <c r="B84" t="s">
        <v>271</v>
      </c>
      <c r="C84" t="s">
        <v>272</v>
      </c>
    </row>
    <row r="85" spans="1:3">
      <c r="B85" t="s">
        <v>6</v>
      </c>
      <c r="C85" t="s">
        <v>273</v>
      </c>
    </row>
    <row r="86" spans="1:3">
      <c r="B86" t="s">
        <v>274</v>
      </c>
      <c r="C86" t="s">
        <v>275</v>
      </c>
    </row>
    <row r="87" spans="1:3">
      <c r="B87" t="s">
        <v>276</v>
      </c>
      <c r="C87" t="s">
        <v>277</v>
      </c>
    </row>
    <row r="88" spans="1:3">
      <c r="B88" t="s">
        <v>278</v>
      </c>
      <c r="C88" t="s">
        <v>279</v>
      </c>
    </row>
    <row r="89" spans="1:3">
      <c r="B89" t="s">
        <v>280</v>
      </c>
      <c r="C89" t="s">
        <v>281</v>
      </c>
    </row>
    <row r="90" spans="1:3">
      <c r="B90" t="s">
        <v>282</v>
      </c>
      <c r="C90" t="s">
        <v>283</v>
      </c>
    </row>
    <row r="92" spans="1:3">
      <c r="A92" t="s">
        <v>720</v>
      </c>
    </row>
    <row r="93" spans="1:3">
      <c r="B93" t="s">
        <v>721</v>
      </c>
      <c r="C93" t="s">
        <v>722</v>
      </c>
    </row>
    <row r="94" spans="1:3">
      <c r="B94" t="s">
        <v>724</v>
      </c>
      <c r="C94" t="s">
        <v>725</v>
      </c>
    </row>
    <row r="95" spans="1:3">
      <c r="B95" t="s">
        <v>723</v>
      </c>
      <c r="C95" t="s">
        <v>726</v>
      </c>
    </row>
    <row r="96" spans="1:3">
      <c r="B96" s="45" t="s">
        <v>1038</v>
      </c>
      <c r="C96" t="s">
        <v>1039</v>
      </c>
    </row>
    <row r="97" spans="1:4">
      <c r="B97" s="45" t="s">
        <v>1040</v>
      </c>
      <c r="C97" t="s">
        <v>1041</v>
      </c>
    </row>
    <row r="101" spans="1:4">
      <c r="A101" t="s">
        <v>284</v>
      </c>
    </row>
    <row r="102" spans="1:4">
      <c r="B102" t="s">
        <v>285</v>
      </c>
      <c r="C102" t="s">
        <v>210</v>
      </c>
    </row>
    <row r="103" spans="1:4">
      <c r="B103" t="s">
        <v>17</v>
      </c>
      <c r="C103" t="s">
        <v>286</v>
      </c>
    </row>
    <row r="104" spans="1:4">
      <c r="B104" t="s">
        <v>287</v>
      </c>
    </row>
    <row r="106" spans="1:4">
      <c r="A106" t="s">
        <v>288</v>
      </c>
    </row>
    <row r="107" spans="1:4">
      <c r="B107" t="s">
        <v>285</v>
      </c>
      <c r="C107" t="s">
        <v>210</v>
      </c>
    </row>
    <row r="108" spans="1:4">
      <c r="B108" t="s">
        <v>289</v>
      </c>
      <c r="C108" t="s">
        <v>290</v>
      </c>
    </row>
    <row r="109" spans="1:4">
      <c r="B109" t="s">
        <v>17</v>
      </c>
      <c r="C109" t="s">
        <v>286</v>
      </c>
      <c r="D109" s="4"/>
    </row>
    <row r="110" spans="1:4">
      <c r="B110" t="s">
        <v>287</v>
      </c>
      <c r="D110" s="4"/>
    </row>
    <row r="111" spans="1:4">
      <c r="D111" s="4"/>
    </row>
    <row r="112" spans="1:4">
      <c r="A112" t="s">
        <v>1033</v>
      </c>
      <c r="D112" s="4"/>
    </row>
    <row r="113" spans="1:4">
      <c r="B113" t="s">
        <v>291</v>
      </c>
      <c r="D113" s="4"/>
    </row>
    <row r="114" spans="1:4">
      <c r="B114" t="s">
        <v>822</v>
      </c>
    </row>
    <row r="115" spans="1:4">
      <c r="B115" t="s">
        <v>293</v>
      </c>
      <c r="D115" s="4"/>
    </row>
    <row r="116" spans="1:4">
      <c r="B116" t="s">
        <v>294</v>
      </c>
      <c r="D116" s="4"/>
    </row>
    <row r="117" spans="1:4">
      <c r="D117" s="4"/>
    </row>
    <row r="118" spans="1:4">
      <c r="A118" t="s">
        <v>1042</v>
      </c>
      <c r="D118" s="4"/>
    </row>
    <row r="119" spans="1:4">
      <c r="B119" t="s">
        <v>291</v>
      </c>
      <c r="D119" s="4"/>
    </row>
    <row r="120" spans="1:4">
      <c r="B120" t="s">
        <v>1043</v>
      </c>
      <c r="D120" s="4"/>
    </row>
    <row r="121" spans="1:4">
      <c r="B121" t="s">
        <v>1044</v>
      </c>
      <c r="D121" s="4"/>
    </row>
    <row r="122" spans="1:4">
      <c r="B122" t="s">
        <v>1045</v>
      </c>
      <c r="D122" s="4"/>
    </row>
    <row r="123" spans="1:4">
      <c r="D123" s="4"/>
    </row>
    <row r="124" spans="1:4">
      <c r="A124" t="s">
        <v>1034</v>
      </c>
      <c r="D124" s="4"/>
    </row>
    <row r="125" spans="1:4">
      <c r="B125" t="s">
        <v>291</v>
      </c>
      <c r="D125" s="4"/>
    </row>
    <row r="126" spans="1:4">
      <c r="B126" t="s">
        <v>1035</v>
      </c>
      <c r="D126" s="4"/>
    </row>
    <row r="127" spans="1:4">
      <c r="B127" t="s">
        <v>1037</v>
      </c>
      <c r="D127" s="4"/>
    </row>
    <row r="128" spans="1:4">
      <c r="B128" t="s">
        <v>1036</v>
      </c>
      <c r="D128" s="4"/>
    </row>
    <row r="129" spans="1:4">
      <c r="D129" s="4"/>
    </row>
    <row r="130" spans="1:4">
      <c r="A130" t="s">
        <v>1046</v>
      </c>
      <c r="D130" s="4"/>
    </row>
    <row r="131" spans="1:4">
      <c r="B131" t="s">
        <v>291</v>
      </c>
      <c r="D131" s="4"/>
    </row>
    <row r="132" spans="1:4">
      <c r="B132" t="s">
        <v>1047</v>
      </c>
      <c r="D132" s="4"/>
    </row>
    <row r="133" spans="1:4">
      <c r="B133" t="s">
        <v>1048</v>
      </c>
      <c r="D133" s="4"/>
    </row>
    <row r="134" spans="1:4">
      <c r="B134" t="s">
        <v>1049</v>
      </c>
      <c r="D134" s="4"/>
    </row>
    <row r="135" spans="1:4">
      <c r="D135" s="4"/>
    </row>
    <row r="136" spans="1:4">
      <c r="D136" s="4"/>
    </row>
    <row r="137" spans="1:4">
      <c r="C137" s="4"/>
    </row>
    <row r="138" spans="1:4">
      <c r="A138" t="s">
        <v>295</v>
      </c>
      <c r="C138" s="4"/>
    </row>
    <row r="139" spans="1:4">
      <c r="B139" t="s">
        <v>194</v>
      </c>
      <c r="C139" s="4" t="s">
        <v>131</v>
      </c>
    </row>
    <row r="140" spans="1:4">
      <c r="B140" t="s">
        <v>1050</v>
      </c>
      <c r="C140" s="4" t="s">
        <v>1051</v>
      </c>
    </row>
    <row r="141" spans="1:4">
      <c r="B141" t="s">
        <v>1013</v>
      </c>
      <c r="C141" s="4" t="s">
        <v>1014</v>
      </c>
    </row>
    <row r="142" spans="1:4">
      <c r="B142" t="s">
        <v>977</v>
      </c>
      <c r="C142" s="4" t="s">
        <v>978</v>
      </c>
    </row>
    <row r="143" spans="1:4">
      <c r="B143" t="s">
        <v>973</v>
      </c>
      <c r="C143" s="4" t="s">
        <v>974</v>
      </c>
    </row>
    <row r="144" spans="1:4">
      <c r="B144" t="s">
        <v>972</v>
      </c>
      <c r="C144" s="4" t="s">
        <v>965</v>
      </c>
    </row>
    <row r="145" spans="2:3">
      <c r="B145" t="s">
        <v>963</v>
      </c>
      <c r="C145" s="4" t="s">
        <v>964</v>
      </c>
    </row>
    <row r="146" spans="2:3">
      <c r="B146" t="s">
        <v>957</v>
      </c>
      <c r="C146" s="4" t="s">
        <v>958</v>
      </c>
    </row>
    <row r="147" spans="2:3">
      <c r="B147" t="s">
        <v>955</v>
      </c>
      <c r="C147" s="4" t="s">
        <v>956</v>
      </c>
    </row>
    <row r="148" spans="2:3">
      <c r="B148" s="45" t="s">
        <v>943</v>
      </c>
      <c r="C148" s="4" t="s">
        <v>944</v>
      </c>
    </row>
    <row r="149" spans="2:3">
      <c r="B149" s="45" t="s">
        <v>931</v>
      </c>
      <c r="C149" s="4" t="s">
        <v>932</v>
      </c>
    </row>
    <row r="150" spans="2:3">
      <c r="B150" t="s">
        <v>919</v>
      </c>
      <c r="C150" s="4" t="s">
        <v>920</v>
      </c>
    </row>
    <row r="151" spans="2:3">
      <c r="B151" t="s">
        <v>907</v>
      </c>
      <c r="C151" s="4" t="s">
        <v>908</v>
      </c>
    </row>
    <row r="152" spans="2:3">
      <c r="B152" t="s">
        <v>945</v>
      </c>
      <c r="C152" s="4" t="s">
        <v>946</v>
      </c>
    </row>
    <row r="153" spans="2:3">
      <c r="B153" t="s">
        <v>933</v>
      </c>
      <c r="C153" s="4" t="s">
        <v>934</v>
      </c>
    </row>
    <row r="154" spans="2:3">
      <c r="B154" t="s">
        <v>921</v>
      </c>
      <c r="C154" s="4" t="s">
        <v>922</v>
      </c>
    </row>
    <row r="155" spans="2:3">
      <c r="B155" t="s">
        <v>909</v>
      </c>
      <c r="C155" s="4" t="s">
        <v>910</v>
      </c>
    </row>
    <row r="156" spans="2:3">
      <c r="B156" t="s">
        <v>897</v>
      </c>
      <c r="C156" s="4" t="s">
        <v>898</v>
      </c>
    </row>
    <row r="157" spans="2:3">
      <c r="B157" t="s">
        <v>886</v>
      </c>
      <c r="C157" s="4" t="s">
        <v>887</v>
      </c>
    </row>
    <row r="158" spans="2:3">
      <c r="B158" t="s">
        <v>959</v>
      </c>
      <c r="C158" s="4" t="s">
        <v>960</v>
      </c>
    </row>
    <row r="159" spans="2:3">
      <c r="B159" t="s">
        <v>979</v>
      </c>
      <c r="C159" s="4" t="s">
        <v>980</v>
      </c>
    </row>
    <row r="160" spans="2:3">
      <c r="B160" t="s">
        <v>970</v>
      </c>
      <c r="C160" s="4" t="s">
        <v>971</v>
      </c>
    </row>
    <row r="161" spans="2:3">
      <c r="B161" t="s">
        <v>968</v>
      </c>
      <c r="C161" s="4" t="s">
        <v>969</v>
      </c>
    </row>
    <row r="162" spans="2:3">
      <c r="B162" t="s">
        <v>961</v>
      </c>
      <c r="C162" s="4" t="s">
        <v>962</v>
      </c>
    </row>
    <row r="163" spans="2:3">
      <c r="B163" t="s">
        <v>947</v>
      </c>
      <c r="C163" s="4" t="s">
        <v>948</v>
      </c>
    </row>
    <row r="164" spans="2:3">
      <c r="B164" t="s">
        <v>935</v>
      </c>
      <c r="C164" s="4" t="s">
        <v>936</v>
      </c>
    </row>
    <row r="165" spans="2:3">
      <c r="B165" t="s">
        <v>923</v>
      </c>
      <c r="C165" s="4" t="s">
        <v>924</v>
      </c>
    </row>
    <row r="166" spans="2:3">
      <c r="B166" t="s">
        <v>911</v>
      </c>
      <c r="C166" s="4" t="s">
        <v>912</v>
      </c>
    </row>
    <row r="167" spans="2:3">
      <c r="B167" t="s">
        <v>899</v>
      </c>
      <c r="C167" s="4" t="s">
        <v>900</v>
      </c>
    </row>
    <row r="168" spans="2:3">
      <c r="B168" t="s">
        <v>888</v>
      </c>
      <c r="C168" s="4" t="s">
        <v>889</v>
      </c>
    </row>
    <row r="169" spans="2:3">
      <c r="B169" t="s">
        <v>949</v>
      </c>
      <c r="C169" s="4" t="s">
        <v>950</v>
      </c>
    </row>
    <row r="170" spans="2:3">
      <c r="B170" t="s">
        <v>937</v>
      </c>
      <c r="C170" s="4" t="s">
        <v>938</v>
      </c>
    </row>
    <row r="171" spans="2:3">
      <c r="B171" t="s">
        <v>925</v>
      </c>
      <c r="C171" s="4" t="s">
        <v>926</v>
      </c>
    </row>
    <row r="172" spans="2:3">
      <c r="B172" t="s">
        <v>913</v>
      </c>
      <c r="C172" s="4" t="s">
        <v>914</v>
      </c>
    </row>
    <row r="173" spans="2:3">
      <c r="B173" t="s">
        <v>901</v>
      </c>
      <c r="C173" s="4" t="s">
        <v>902</v>
      </c>
    </row>
    <row r="174" spans="2:3">
      <c r="B174" s="45" t="s">
        <v>890</v>
      </c>
      <c r="C174" s="4" t="s">
        <v>891</v>
      </c>
    </row>
    <row r="175" spans="2:3">
      <c r="B175" t="s">
        <v>951</v>
      </c>
      <c r="C175" s="4" t="s">
        <v>952</v>
      </c>
    </row>
    <row r="176" spans="2:3">
      <c r="B176" t="s">
        <v>939</v>
      </c>
      <c r="C176" s="4" t="s">
        <v>940</v>
      </c>
    </row>
    <row r="177" spans="1:5">
      <c r="B177" t="s">
        <v>927</v>
      </c>
      <c r="C177" s="4" t="s">
        <v>928</v>
      </c>
    </row>
    <row r="178" spans="1:5">
      <c r="B178" t="s">
        <v>915</v>
      </c>
      <c r="C178" s="4" t="s">
        <v>916</v>
      </c>
    </row>
    <row r="179" spans="1:5">
      <c r="B179" t="s">
        <v>903</v>
      </c>
      <c r="C179" s="4" t="s">
        <v>904</v>
      </c>
    </row>
    <row r="180" spans="1:5">
      <c r="B180" t="s">
        <v>892</v>
      </c>
      <c r="C180" s="4" t="s">
        <v>893</v>
      </c>
    </row>
    <row r="181" spans="1:5">
      <c r="B181" t="s">
        <v>953</v>
      </c>
      <c r="C181" s="4" t="s">
        <v>954</v>
      </c>
    </row>
    <row r="182" spans="1:5">
      <c r="B182" t="s">
        <v>941</v>
      </c>
      <c r="C182" s="4" t="s">
        <v>942</v>
      </c>
    </row>
    <row r="183" spans="1:5">
      <c r="B183" t="s">
        <v>929</v>
      </c>
      <c r="C183" s="4" t="s">
        <v>930</v>
      </c>
    </row>
    <row r="184" spans="1:5">
      <c r="B184" t="s">
        <v>917</v>
      </c>
      <c r="C184" s="4" t="s">
        <v>918</v>
      </c>
    </row>
    <row r="185" spans="1:5">
      <c r="B185" t="s">
        <v>905</v>
      </c>
      <c r="C185" s="4" t="s">
        <v>906</v>
      </c>
    </row>
    <row r="186" spans="1:5">
      <c r="B186" t="s">
        <v>894</v>
      </c>
      <c r="C186" s="4" t="s">
        <v>895</v>
      </c>
    </row>
    <row r="187" spans="1:5">
      <c r="C187" s="4"/>
    </row>
    <row r="188" spans="1:5">
      <c r="C188" s="4"/>
    </row>
    <row r="189" spans="1:5">
      <c r="A189" t="s">
        <v>296</v>
      </c>
      <c r="C189" s="4"/>
    </row>
    <row r="190" spans="1:5">
      <c r="B190" t="s">
        <v>1053</v>
      </c>
      <c r="C190" s="4"/>
    </row>
    <row r="191" spans="1:5">
      <c r="B191" t="s">
        <v>194</v>
      </c>
      <c r="C191" s="4" t="s">
        <v>131</v>
      </c>
      <c r="E191" s="4"/>
    </row>
    <row r="192" spans="1:5">
      <c r="B192" t="s">
        <v>975</v>
      </c>
      <c r="C192" s="4" t="s">
        <v>976</v>
      </c>
      <c r="E192" s="4"/>
    </row>
    <row r="193" spans="2:3">
      <c r="B193" t="s">
        <v>869</v>
      </c>
      <c r="C193" s="4" t="s">
        <v>870</v>
      </c>
    </row>
    <row r="194" spans="2:3">
      <c r="B194" t="s">
        <v>881</v>
      </c>
      <c r="C194" s="4" t="s">
        <v>882</v>
      </c>
    </row>
    <row r="195" spans="2:3">
      <c r="B195" t="s">
        <v>879</v>
      </c>
      <c r="C195" s="4" t="s">
        <v>880</v>
      </c>
    </row>
    <row r="196" spans="2:3">
      <c r="B196" t="s">
        <v>883</v>
      </c>
      <c r="C196" s="4" t="s">
        <v>884</v>
      </c>
    </row>
    <row r="197" spans="2:3">
      <c r="B197" t="s">
        <v>873</v>
      </c>
      <c r="C197" s="4" t="s">
        <v>874</v>
      </c>
    </row>
    <row r="198" spans="2:3">
      <c r="B198" t="s">
        <v>877</v>
      </c>
      <c r="C198" s="4" t="s">
        <v>878</v>
      </c>
    </row>
    <row r="199" spans="2:3">
      <c r="B199" t="s">
        <v>875</v>
      </c>
      <c r="C199" s="4" t="s">
        <v>876</v>
      </c>
    </row>
    <row r="200" spans="2:3">
      <c r="B200" t="s">
        <v>871</v>
      </c>
      <c r="C200" s="4" t="s">
        <v>872</v>
      </c>
    </row>
    <row r="201" spans="2:3">
      <c r="B201" t="s">
        <v>829</v>
      </c>
      <c r="C201" s="4" t="s">
        <v>830</v>
      </c>
    </row>
    <row r="202" spans="2:3">
      <c r="B202" t="s">
        <v>833</v>
      </c>
      <c r="C202" s="4" t="s">
        <v>834</v>
      </c>
    </row>
    <row r="203" spans="2:3">
      <c r="B203" t="s">
        <v>831</v>
      </c>
      <c r="C203" s="4" t="s">
        <v>832</v>
      </c>
    </row>
    <row r="204" spans="2:3">
      <c r="B204" t="s">
        <v>837</v>
      </c>
      <c r="C204" s="4" t="s">
        <v>838</v>
      </c>
    </row>
    <row r="205" spans="2:3">
      <c r="B205" t="s">
        <v>835</v>
      </c>
      <c r="C205" s="4" t="s">
        <v>836</v>
      </c>
    </row>
    <row r="206" spans="2:3">
      <c r="B206" s="45" t="s">
        <v>613</v>
      </c>
      <c r="C206" s="4" t="s">
        <v>614</v>
      </c>
    </row>
    <row r="207" spans="2:3">
      <c r="B207" t="s">
        <v>297</v>
      </c>
      <c r="C207" s="4" t="s">
        <v>298</v>
      </c>
    </row>
    <row r="208" spans="2:3">
      <c r="B208" t="s">
        <v>715</v>
      </c>
      <c r="C208" s="4" t="s">
        <v>716</v>
      </c>
    </row>
    <row r="209" spans="1:3">
      <c r="B209" t="s">
        <v>615</v>
      </c>
      <c r="C209" s="4" t="s">
        <v>616</v>
      </c>
    </row>
    <row r="210" spans="1:3">
      <c r="B210" t="s">
        <v>299</v>
      </c>
      <c r="C210" s="4" t="s">
        <v>300</v>
      </c>
    </row>
    <row r="211" spans="1:3">
      <c r="B211" t="s">
        <v>839</v>
      </c>
      <c r="C211" s="4" t="s">
        <v>612</v>
      </c>
    </row>
    <row r="212" spans="1:3">
      <c r="B212" t="s">
        <v>966</v>
      </c>
      <c r="C212" s="4" t="s">
        <v>967</v>
      </c>
    </row>
    <row r="213" spans="1:3">
      <c r="B213" s="45" t="s">
        <v>719</v>
      </c>
      <c r="C213" s="4" t="s">
        <v>717</v>
      </c>
    </row>
    <row r="214" spans="1:3">
      <c r="C214" s="4"/>
    </row>
    <row r="215" spans="1:3">
      <c r="B215" t="s">
        <v>1054</v>
      </c>
      <c r="C215" s="4"/>
    </row>
    <row r="216" spans="1:3">
      <c r="B216" s="271" t="s">
        <v>194</v>
      </c>
      <c r="C216" s="272" t="s">
        <v>131</v>
      </c>
    </row>
    <row r="217" spans="1:3">
      <c r="B217" s="270" t="s">
        <v>975</v>
      </c>
      <c r="C217" s="274" t="s">
        <v>1052</v>
      </c>
    </row>
    <row r="218" spans="1:3">
      <c r="B218" s="273"/>
      <c r="C218" s="274"/>
    </row>
    <row r="219" spans="1:3">
      <c r="C219" s="4"/>
    </row>
    <row r="220" spans="1:3">
      <c r="C220" s="4"/>
    </row>
    <row r="221" spans="1:3">
      <c r="C221" s="4"/>
    </row>
    <row r="222" spans="1:3">
      <c r="A222" t="s">
        <v>301</v>
      </c>
      <c r="C222" s="4"/>
    </row>
    <row r="223" spans="1:3">
      <c r="B223" t="s">
        <v>302</v>
      </c>
      <c r="C223" t="s">
        <v>303</v>
      </c>
    </row>
    <row r="224" spans="1:3">
      <c r="B224" t="s">
        <v>304</v>
      </c>
      <c r="C224" t="s">
        <v>304</v>
      </c>
    </row>
    <row r="225" spans="1:7">
      <c r="B225" t="str">
        <f>IF('ヒアリングシート(Windows)'!L19="","-","EBR"&amp;"."&amp;UPPER('ヒアリングシート(Windows)'!L19)&amp;"-"&amp;'ヒアリングシート(Windows)'!L12&amp;"-Role")</f>
        <v>-</v>
      </c>
      <c r="C225" t="e">
        <f>IF(#REF!="","-","EBR"&amp;"."&amp;UPPER(#REF!)&amp;"-"&amp;#REF!&amp;"-Role")</f>
        <v>#REF!</v>
      </c>
    </row>
    <row r="226" spans="1:7">
      <c r="C226" s="4"/>
    </row>
    <row r="227" spans="1:7">
      <c r="A227" t="s">
        <v>305</v>
      </c>
    </row>
    <row r="228" spans="1:7">
      <c r="B228" t="s">
        <v>306</v>
      </c>
      <c r="C228" t="s">
        <v>307</v>
      </c>
      <c r="D228" t="s">
        <v>269</v>
      </c>
      <c r="E228" s="1" t="s">
        <v>308</v>
      </c>
      <c r="F228" s="1" t="s">
        <v>309</v>
      </c>
    </row>
    <row r="229" spans="1:7">
      <c r="B229" t="str">
        <f>インスタンスタイプ[[#This Row],[名前]]&amp;" ("&amp;インスタンスタイプ[[#This Row],[種別]]&amp;")"&amp;" ["&amp;インスタンスタイプ[[#This Row],[vCPU]]&amp;"vCPU"&amp;"："&amp;インスタンスタイプ[[#This Row],[Memory]]&amp;"GiB] "</f>
        <v xml:space="preserve">t3.medium (バースト) [2(20%)vCPU：4GiB] </v>
      </c>
      <c r="C229" s="113" t="s">
        <v>310</v>
      </c>
      <c r="D229" s="113" t="s">
        <v>311</v>
      </c>
      <c r="E229" s="113" t="s">
        <v>312</v>
      </c>
      <c r="F229" s="113">
        <v>4</v>
      </c>
      <c r="G229" s="113"/>
    </row>
    <row r="230" spans="1:7">
      <c r="B230" t="str">
        <f>インスタンスタイプ[[#This Row],[名前]]&amp;" ("&amp;インスタンスタイプ[[#This Row],[種別]]&amp;")"&amp;" ["&amp;インスタンスタイプ[[#This Row],[vCPU]]&amp;"vCPU"&amp;"："&amp;インスタンスタイプ[[#This Row],[Memory]]&amp;"GiB] "</f>
        <v xml:space="preserve">t3.large (バースト) [2(30%)vCPU：8GiB] </v>
      </c>
      <c r="C230" s="113" t="s">
        <v>310</v>
      </c>
      <c r="D230" s="113" t="s">
        <v>313</v>
      </c>
      <c r="E230" s="113" t="s">
        <v>314</v>
      </c>
      <c r="F230" s="113">
        <v>8</v>
      </c>
      <c r="G230" s="113"/>
    </row>
    <row r="231" spans="1:7">
      <c r="B231" t="str">
        <f>インスタンスタイプ[[#This Row],[名前]]&amp;" ("&amp;インスタンスタイプ[[#This Row],[種別]]&amp;")"&amp;" ["&amp;インスタンスタイプ[[#This Row],[vCPU]]&amp;"vCPU"&amp;"："&amp;インスタンスタイプ[[#This Row],[Memory]]&amp;"GiB] "</f>
        <v xml:space="preserve">t3.xlarge (バースト) [4(40%)vCPU：16GiB] </v>
      </c>
      <c r="C231" s="113" t="s">
        <v>310</v>
      </c>
      <c r="D231" s="113" t="s">
        <v>315</v>
      </c>
      <c r="E231" s="113" t="s">
        <v>316</v>
      </c>
      <c r="F231" s="113">
        <v>16</v>
      </c>
      <c r="G231" s="113"/>
    </row>
    <row r="232" spans="1:7">
      <c r="B232" t="str">
        <f>インスタンスタイプ[[#This Row],[名前]]&amp;" ("&amp;インスタンスタイプ[[#This Row],[種別]]&amp;")"&amp;" ["&amp;インスタンスタイプ[[#This Row],[vCPU]]&amp;"vCPU"&amp;"："&amp;インスタンスタイプ[[#This Row],[Memory]]&amp;"GiB] "</f>
        <v xml:space="preserve">t3.2xlarge (バースト) [8(40%)vCPU：32GiB] </v>
      </c>
      <c r="C232" s="113" t="s">
        <v>310</v>
      </c>
      <c r="D232" s="113" t="s">
        <v>317</v>
      </c>
      <c r="E232" s="113" t="s">
        <v>318</v>
      </c>
      <c r="F232" s="113">
        <v>32</v>
      </c>
      <c r="G232" s="113"/>
    </row>
    <row r="233" spans="1:7">
      <c r="B233" t="str">
        <f>インスタンスタイプ[[#This Row],[名前]]&amp;" ("&amp;インスタンスタイプ[[#This Row],[種別]]&amp;")"&amp;" ["&amp;インスタンスタイプ[[#This Row],[vCPU]]&amp;"vCPU"&amp;"："&amp;インスタンスタイプ[[#This Row],[Memory]]&amp;"GiB] "</f>
        <v xml:space="preserve">c5.large (CPU強化) [2vCPU：4GiB] </v>
      </c>
      <c r="C233" s="113" t="s">
        <v>319</v>
      </c>
      <c r="D233" s="113" t="s">
        <v>320</v>
      </c>
      <c r="E233" s="113">
        <v>2</v>
      </c>
      <c r="F233" s="113">
        <v>4</v>
      </c>
      <c r="G233" s="113"/>
    </row>
    <row r="234" spans="1:7">
      <c r="B234" t="str">
        <f>インスタンスタイプ[[#This Row],[名前]]&amp;" ("&amp;インスタンスタイプ[[#This Row],[種別]]&amp;")"&amp;" ["&amp;インスタンスタイプ[[#This Row],[vCPU]]&amp;"vCPU"&amp;"："&amp;インスタンスタイプ[[#This Row],[Memory]]&amp;"GiB] "</f>
        <v xml:space="preserve">c5.xlarge (CPU強化) [4vCPU：8GiB] </v>
      </c>
      <c r="C234" s="113" t="s">
        <v>319</v>
      </c>
      <c r="D234" s="113" t="s">
        <v>321</v>
      </c>
      <c r="E234" s="113">
        <v>4</v>
      </c>
      <c r="F234" s="113">
        <v>8</v>
      </c>
      <c r="G234" s="113"/>
    </row>
    <row r="235" spans="1:7">
      <c r="B235" t="str">
        <f>インスタンスタイプ[[#This Row],[名前]]&amp;" ("&amp;インスタンスタイプ[[#This Row],[種別]]&amp;")"&amp;" ["&amp;インスタンスタイプ[[#This Row],[vCPU]]&amp;"vCPU"&amp;"："&amp;インスタンスタイプ[[#This Row],[Memory]]&amp;"GiB] "</f>
        <v xml:space="preserve">c5.2xlarge (CPU強化) [8vCPU：16GiB] </v>
      </c>
      <c r="C235" s="113" t="s">
        <v>319</v>
      </c>
      <c r="D235" s="113" t="s">
        <v>322</v>
      </c>
      <c r="E235" s="113">
        <v>8</v>
      </c>
      <c r="F235" s="113">
        <v>16</v>
      </c>
      <c r="G235" s="113"/>
    </row>
    <row r="236" spans="1:7">
      <c r="B236" t="str">
        <f>インスタンスタイプ[[#This Row],[名前]]&amp;" ("&amp;インスタンスタイプ[[#This Row],[種別]]&amp;")"&amp;" ["&amp;インスタンスタイプ[[#This Row],[vCPU]]&amp;"vCPU"&amp;"："&amp;インスタンスタイプ[[#This Row],[Memory]]&amp;"GiB] "</f>
        <v xml:space="preserve">c5.4xlarge (CPU強化) [16vCPU：32GiB] </v>
      </c>
      <c r="C236" s="113" t="s">
        <v>319</v>
      </c>
      <c r="D236" s="113" t="s">
        <v>323</v>
      </c>
      <c r="E236" s="113">
        <v>16</v>
      </c>
      <c r="F236" s="113">
        <v>32</v>
      </c>
      <c r="G236" s="113"/>
    </row>
    <row r="237" spans="1:7">
      <c r="B237" t="str">
        <f>インスタンスタイプ[[#This Row],[名前]]&amp;" ("&amp;インスタンスタイプ[[#This Row],[種別]]&amp;")"&amp;" ["&amp;インスタンスタイプ[[#This Row],[vCPU]]&amp;"vCPU"&amp;"："&amp;インスタンスタイプ[[#This Row],[Memory]]&amp;"GiB] "</f>
        <v xml:space="preserve">c5.9xlarge (CPU強化) [36vCPU：72GiB] </v>
      </c>
      <c r="C237" s="113" t="s">
        <v>319</v>
      </c>
      <c r="D237" s="113" t="s">
        <v>324</v>
      </c>
      <c r="E237" s="113">
        <v>36</v>
      </c>
      <c r="F237" s="113">
        <v>72</v>
      </c>
      <c r="G237" s="113"/>
    </row>
    <row r="238" spans="1:7">
      <c r="B238" t="str">
        <f>インスタンスタイプ[[#This Row],[名前]]&amp;" ("&amp;インスタンスタイプ[[#This Row],[種別]]&amp;")"&amp;" ["&amp;インスタンスタイプ[[#This Row],[vCPU]]&amp;"vCPU"&amp;"："&amp;インスタンスタイプ[[#This Row],[Memory]]&amp;"GiB] "</f>
        <v xml:space="preserve">c5.12xlarge (CPU強化) [48vCPU：96GiB] </v>
      </c>
      <c r="C238" s="113" t="s">
        <v>319</v>
      </c>
      <c r="D238" s="113" t="s">
        <v>325</v>
      </c>
      <c r="E238" s="113">
        <v>48</v>
      </c>
      <c r="F238" s="113">
        <v>96</v>
      </c>
      <c r="G238" s="113"/>
    </row>
    <row r="239" spans="1:7">
      <c r="B239" t="str">
        <f>インスタンスタイプ[[#This Row],[名前]]&amp;" ("&amp;インスタンスタイプ[[#This Row],[種別]]&amp;")"&amp;" ["&amp;インスタンスタイプ[[#This Row],[vCPU]]&amp;"vCPU"&amp;"："&amp;インスタンスタイプ[[#This Row],[Memory]]&amp;"GiB] "</f>
        <v xml:space="preserve">c5.18xlarge (CPU強化) [72vCPU：144GiB] </v>
      </c>
      <c r="C239" s="113" t="s">
        <v>319</v>
      </c>
      <c r="D239" s="113" t="s">
        <v>326</v>
      </c>
      <c r="E239" s="113">
        <v>72</v>
      </c>
      <c r="F239" s="113">
        <v>144</v>
      </c>
      <c r="G239" s="113"/>
    </row>
    <row r="240" spans="1:7">
      <c r="B240" t="str">
        <f>インスタンスタイプ[[#This Row],[名前]]&amp;" ("&amp;インスタンスタイプ[[#This Row],[種別]]&amp;")"&amp;" ["&amp;インスタンスタイプ[[#This Row],[vCPU]]&amp;"vCPU"&amp;"："&amp;インスタンスタイプ[[#This Row],[Memory]]&amp;"GiB] "</f>
        <v xml:space="preserve">c5.24xlarge (CPU強化) [96vCPU：192GiB] </v>
      </c>
      <c r="C240" s="113" t="s">
        <v>319</v>
      </c>
      <c r="D240" s="113" t="s">
        <v>327</v>
      </c>
      <c r="E240" s="113">
        <v>96</v>
      </c>
      <c r="F240" s="113">
        <v>192</v>
      </c>
      <c r="G240" s="113"/>
    </row>
    <row r="241" spans="2:7">
      <c r="B241" s="1" t="str">
        <f>インスタンスタイプ[[#This Row],[名前]]&amp;" ("&amp;インスタンスタイプ[[#This Row],[種別]]&amp;")"&amp;" ["&amp;インスタンスタイプ[[#This Row],[vCPU]]&amp;"vCPU"&amp;"："&amp;インスタンスタイプ[[#This Row],[Memory]]&amp;"GiB] "</f>
        <v xml:space="preserve">c6i.large (CPU強化) [2vCPU：4GiB] </v>
      </c>
      <c r="C241" s="113" t="s">
        <v>319</v>
      </c>
      <c r="D241" s="113" t="s">
        <v>679</v>
      </c>
      <c r="E241" s="113">
        <v>2</v>
      </c>
      <c r="F241" s="113">
        <v>4</v>
      </c>
      <c r="G241" s="113"/>
    </row>
    <row r="242" spans="2:7">
      <c r="B242" s="1" t="str">
        <f>インスタンスタイプ[[#This Row],[名前]]&amp;" ("&amp;インスタンスタイプ[[#This Row],[種別]]&amp;")"&amp;" ["&amp;インスタンスタイプ[[#This Row],[vCPU]]&amp;"vCPU"&amp;"："&amp;インスタンスタイプ[[#This Row],[Memory]]&amp;"GiB] "</f>
        <v xml:space="preserve">c6i.xlarge (CPU強化) [4vCPU：8GiB] </v>
      </c>
      <c r="C242" s="113" t="s">
        <v>319</v>
      </c>
      <c r="D242" s="113" t="s">
        <v>680</v>
      </c>
      <c r="E242" s="113">
        <v>4</v>
      </c>
      <c r="F242" s="113">
        <v>8</v>
      </c>
      <c r="G242" s="113"/>
    </row>
    <row r="243" spans="2:7">
      <c r="B243" s="1" t="str">
        <f>インスタンスタイプ[[#This Row],[名前]]&amp;" ("&amp;インスタンスタイプ[[#This Row],[種別]]&amp;")"&amp;" ["&amp;インスタンスタイプ[[#This Row],[vCPU]]&amp;"vCPU"&amp;"："&amp;インスタンスタイプ[[#This Row],[Memory]]&amp;"GiB] "</f>
        <v xml:space="preserve">c6i.2xlarge (CPU強化) [8vCPU：16GiB] </v>
      </c>
      <c r="C243" s="113" t="s">
        <v>319</v>
      </c>
      <c r="D243" s="113" t="s">
        <v>681</v>
      </c>
      <c r="E243" s="113">
        <v>8</v>
      </c>
      <c r="F243" s="113">
        <v>16</v>
      </c>
      <c r="G243" s="113"/>
    </row>
    <row r="244" spans="2:7">
      <c r="B244" s="1" t="str">
        <f>インスタンスタイプ[[#This Row],[名前]]&amp;" ("&amp;インスタンスタイプ[[#This Row],[種別]]&amp;")"&amp;" ["&amp;インスタンスタイプ[[#This Row],[vCPU]]&amp;"vCPU"&amp;"："&amp;インスタンスタイプ[[#This Row],[Memory]]&amp;"GiB] "</f>
        <v xml:space="preserve">c6i.4xlarge (CPU強化) [16vCPU：32GiB] </v>
      </c>
      <c r="C244" s="113" t="s">
        <v>319</v>
      </c>
      <c r="D244" s="113" t="s">
        <v>682</v>
      </c>
      <c r="E244" s="113">
        <v>16</v>
      </c>
      <c r="F244" s="113">
        <v>32</v>
      </c>
      <c r="G244" s="113"/>
    </row>
    <row r="245" spans="2:7">
      <c r="B245" s="1" t="str">
        <f>インスタンスタイプ[[#This Row],[名前]]&amp;" ("&amp;インスタンスタイプ[[#This Row],[種別]]&amp;")"&amp;" ["&amp;インスタンスタイプ[[#This Row],[vCPU]]&amp;"vCPU"&amp;"："&amp;インスタンスタイプ[[#This Row],[Memory]]&amp;"GiB] "</f>
        <v xml:space="preserve">c6i.8xlarge (CPU強化) [32vCPU：64GiB] </v>
      </c>
      <c r="C245" s="113" t="s">
        <v>319</v>
      </c>
      <c r="D245" s="113" t="s">
        <v>683</v>
      </c>
      <c r="E245" s="113">
        <v>32</v>
      </c>
      <c r="F245" s="113">
        <v>64</v>
      </c>
      <c r="G245" s="113"/>
    </row>
    <row r="246" spans="2:7">
      <c r="B246" s="1" t="str">
        <f>インスタンスタイプ[[#This Row],[名前]]&amp;" ("&amp;インスタンスタイプ[[#This Row],[種別]]&amp;")"&amp;" ["&amp;インスタンスタイプ[[#This Row],[vCPU]]&amp;"vCPU"&amp;"："&amp;インスタンスタイプ[[#This Row],[Memory]]&amp;"GiB] "</f>
        <v xml:space="preserve">c6i.12xlarge (CPU強化) [48vCPU：96GiB] </v>
      </c>
      <c r="C246" s="113" t="s">
        <v>319</v>
      </c>
      <c r="D246" s="113" t="s">
        <v>684</v>
      </c>
      <c r="E246" s="113">
        <v>48</v>
      </c>
      <c r="F246" s="113">
        <v>96</v>
      </c>
      <c r="G246" s="113"/>
    </row>
    <row r="247" spans="2:7">
      <c r="B247" s="1" t="str">
        <f>インスタンスタイプ[[#This Row],[名前]]&amp;" ("&amp;インスタンスタイプ[[#This Row],[種別]]&amp;")"&amp;" ["&amp;インスタンスタイプ[[#This Row],[vCPU]]&amp;"vCPU"&amp;"："&amp;インスタンスタイプ[[#This Row],[Memory]]&amp;"GiB] "</f>
        <v xml:space="preserve">c6i.16xlarge (CPU強化) [64vCPU：128GiB] </v>
      </c>
      <c r="C247" s="113" t="s">
        <v>319</v>
      </c>
      <c r="D247" s="113" t="s">
        <v>685</v>
      </c>
      <c r="E247" s="113">
        <v>64</v>
      </c>
      <c r="F247" s="113">
        <v>128</v>
      </c>
      <c r="G247" s="113"/>
    </row>
    <row r="248" spans="2:7">
      <c r="B248" s="1" t="str">
        <f>インスタンスタイプ[[#This Row],[名前]]&amp;" ("&amp;インスタンスタイプ[[#This Row],[種別]]&amp;")"&amp;" ["&amp;インスタンスタイプ[[#This Row],[vCPU]]&amp;"vCPU"&amp;"："&amp;インスタンスタイプ[[#This Row],[Memory]]&amp;"GiB] "</f>
        <v xml:space="preserve">c6i.24xlarge (CPU強化) [96vCPU：192GiB] </v>
      </c>
      <c r="C248" s="113" t="s">
        <v>319</v>
      </c>
      <c r="D248" s="113" t="s">
        <v>686</v>
      </c>
      <c r="E248" s="113">
        <v>96</v>
      </c>
      <c r="F248" s="113">
        <v>192</v>
      </c>
      <c r="G248" s="113"/>
    </row>
    <row r="249" spans="2:7">
      <c r="B249" s="1" t="str">
        <f>インスタンスタイプ[[#This Row],[名前]]&amp;" ("&amp;インスタンスタイプ[[#This Row],[種別]]&amp;")"&amp;" ["&amp;インスタンスタイプ[[#This Row],[vCPU]]&amp;"vCPU"&amp;"："&amp;インスタンスタイプ[[#This Row],[Memory]]&amp;"GiB] "</f>
        <v xml:space="preserve">c6i.32xlarge (CPU強化) [128vCPU：256GiB] </v>
      </c>
      <c r="C249" s="113" t="s">
        <v>319</v>
      </c>
      <c r="D249" s="113" t="s">
        <v>687</v>
      </c>
      <c r="E249" s="113">
        <v>128</v>
      </c>
      <c r="F249" s="113">
        <v>256</v>
      </c>
      <c r="G249" s="113"/>
    </row>
    <row r="250" spans="2:7">
      <c r="B250" s="1" t="str">
        <f>インスタンスタイプ[[#This Row],[名前]]&amp;" ("&amp;インスタンスタイプ[[#This Row],[種別]]&amp;")"&amp;" ["&amp;インスタンスタイプ[[#This Row],[vCPU]]&amp;"vCPU"&amp;"："&amp;インスタンスタイプ[[#This Row],[Memory]]&amp;"GiB] "</f>
        <v xml:space="preserve">c7i.large (CPU強化) [2vCPU：4GiB] </v>
      </c>
      <c r="C250" s="113" t="s">
        <v>319</v>
      </c>
      <c r="D250" s="113" t="s">
        <v>1015</v>
      </c>
      <c r="E250" s="113">
        <v>2</v>
      </c>
      <c r="F250" s="113">
        <v>4</v>
      </c>
      <c r="G250" s="113"/>
    </row>
    <row r="251" spans="2:7">
      <c r="B251" s="1" t="str">
        <f>インスタンスタイプ[[#This Row],[名前]]&amp;" ("&amp;インスタンスタイプ[[#This Row],[種別]]&amp;")"&amp;" ["&amp;インスタンスタイプ[[#This Row],[vCPU]]&amp;"vCPU"&amp;"："&amp;インスタンスタイプ[[#This Row],[Memory]]&amp;"GiB] "</f>
        <v xml:space="preserve">c7i.xlarge (CPU強化) [4vCPU：8GiB] </v>
      </c>
      <c r="C251" s="113" t="s">
        <v>319</v>
      </c>
      <c r="D251" s="113" t="s">
        <v>1016</v>
      </c>
      <c r="E251" s="113">
        <v>4</v>
      </c>
      <c r="F251" s="113">
        <v>8</v>
      </c>
      <c r="G251" s="113"/>
    </row>
    <row r="252" spans="2:7">
      <c r="B252" s="1" t="str">
        <f>インスタンスタイプ[[#This Row],[名前]]&amp;" ("&amp;インスタンスタイプ[[#This Row],[種別]]&amp;")"&amp;" ["&amp;インスタンスタイプ[[#This Row],[vCPU]]&amp;"vCPU"&amp;"："&amp;インスタンスタイプ[[#This Row],[Memory]]&amp;"GiB] "</f>
        <v xml:space="preserve">c7i.2xlarge (CPU強化) [8vCPU：16GiB] </v>
      </c>
      <c r="C252" s="113" t="s">
        <v>319</v>
      </c>
      <c r="D252" s="113" t="s">
        <v>1017</v>
      </c>
      <c r="E252" s="113">
        <v>8</v>
      </c>
      <c r="F252" s="113">
        <v>16</v>
      </c>
      <c r="G252" s="113"/>
    </row>
    <row r="253" spans="2:7">
      <c r="B253" s="1" t="str">
        <f>インスタンスタイプ[[#This Row],[名前]]&amp;" ("&amp;インスタンスタイプ[[#This Row],[種別]]&amp;")"&amp;" ["&amp;インスタンスタイプ[[#This Row],[vCPU]]&amp;"vCPU"&amp;"："&amp;インスタンスタイプ[[#This Row],[Memory]]&amp;"GiB] "</f>
        <v xml:space="preserve">c7i.4xlarge (CPU強化) [16vCPU：32GiB] </v>
      </c>
      <c r="C253" s="113" t="s">
        <v>319</v>
      </c>
      <c r="D253" s="113" t="s">
        <v>1018</v>
      </c>
      <c r="E253" s="113">
        <v>16</v>
      </c>
      <c r="F253" s="113">
        <v>32</v>
      </c>
      <c r="G253" s="113"/>
    </row>
    <row r="254" spans="2:7">
      <c r="B254" s="1" t="str">
        <f>インスタンスタイプ[[#This Row],[名前]]&amp;" ("&amp;インスタンスタイプ[[#This Row],[種別]]&amp;")"&amp;" ["&amp;インスタンスタイプ[[#This Row],[vCPU]]&amp;"vCPU"&amp;"："&amp;インスタンスタイプ[[#This Row],[Memory]]&amp;"GiB] "</f>
        <v xml:space="preserve">c7i.8xlarge (CPU強化) [32vCPU：64GiB] </v>
      </c>
      <c r="C254" s="113" t="s">
        <v>319</v>
      </c>
      <c r="D254" s="113" t="s">
        <v>1019</v>
      </c>
      <c r="E254" s="113">
        <v>32</v>
      </c>
      <c r="F254" s="113">
        <v>64</v>
      </c>
      <c r="G254" s="113"/>
    </row>
    <row r="255" spans="2:7">
      <c r="B255" s="1" t="str">
        <f>インスタンスタイプ[[#This Row],[名前]]&amp;" ("&amp;インスタンスタイプ[[#This Row],[種別]]&amp;")"&amp;" ["&amp;インスタンスタイプ[[#This Row],[vCPU]]&amp;"vCPU"&amp;"："&amp;インスタンスタイプ[[#This Row],[Memory]]&amp;"GiB] "</f>
        <v xml:space="preserve">c7i.12xlarge (CPU強化) [48vCPU：96GiB] </v>
      </c>
      <c r="C255" s="113" t="s">
        <v>319</v>
      </c>
      <c r="D255" s="113" t="s">
        <v>1020</v>
      </c>
      <c r="E255" s="113">
        <v>48</v>
      </c>
      <c r="F255" s="113">
        <v>96</v>
      </c>
      <c r="G255" s="113"/>
    </row>
    <row r="256" spans="2:7">
      <c r="B256" s="1" t="str">
        <f>インスタンスタイプ[[#This Row],[名前]]&amp;" ("&amp;インスタンスタイプ[[#This Row],[種別]]&amp;")"&amp;" ["&amp;インスタンスタイプ[[#This Row],[vCPU]]&amp;"vCPU"&amp;"："&amp;インスタンスタイプ[[#This Row],[Memory]]&amp;"GiB] "</f>
        <v xml:space="preserve">c7i.16xlarge (CPU強化) [64vCPU：128GiB] </v>
      </c>
      <c r="C256" s="113" t="s">
        <v>319</v>
      </c>
      <c r="D256" s="113" t="s">
        <v>1021</v>
      </c>
      <c r="E256" s="113">
        <v>64</v>
      </c>
      <c r="F256" s="113">
        <v>128</v>
      </c>
      <c r="G256" s="113"/>
    </row>
    <row r="257" spans="2:7">
      <c r="B257" s="1" t="str">
        <f>インスタンスタイプ[[#This Row],[名前]]&amp;" ("&amp;インスタンスタイプ[[#This Row],[種別]]&amp;")"&amp;" ["&amp;インスタンスタイプ[[#This Row],[vCPU]]&amp;"vCPU"&amp;"："&amp;インスタンスタイプ[[#This Row],[Memory]]&amp;"GiB] "</f>
        <v xml:space="preserve">c7i.24xlarge (CPU強化) [96vCPU：192GiB] </v>
      </c>
      <c r="C257" s="113" t="s">
        <v>319</v>
      </c>
      <c r="D257" s="113" t="s">
        <v>1022</v>
      </c>
      <c r="E257" s="113">
        <v>96</v>
      </c>
      <c r="F257" s="113">
        <v>192</v>
      </c>
      <c r="G257" s="113"/>
    </row>
    <row r="258" spans="2:7">
      <c r="B258" s="1" t="str">
        <f>インスタンスタイプ[[#This Row],[名前]]&amp;" ("&amp;インスタンスタイプ[[#This Row],[種別]]&amp;")"&amp;" ["&amp;インスタンスタイプ[[#This Row],[vCPU]]&amp;"vCPU"&amp;"："&amp;インスタンスタイプ[[#This Row],[Memory]]&amp;"GiB] "</f>
        <v xml:space="preserve">c7i.48xlarge (CPU強化) [192vCPU：384GiB] </v>
      </c>
      <c r="C258" s="113" t="s">
        <v>319</v>
      </c>
      <c r="D258" s="113" t="s">
        <v>1023</v>
      </c>
      <c r="E258" s="113">
        <v>192</v>
      </c>
      <c r="F258" s="113">
        <v>384</v>
      </c>
      <c r="G258" s="113"/>
    </row>
    <row r="259" spans="2:7">
      <c r="B259" t="str">
        <f>インスタンスタイプ[[#This Row],[名前]]&amp;" ("&amp;インスタンスタイプ[[#This Row],[種別]]&amp;")"&amp;" ["&amp;インスタンスタイプ[[#This Row],[vCPU]]&amp;"vCPU"&amp;"："&amp;インスタンスタイプ[[#This Row],[Memory]]&amp;"GiB] "</f>
        <v xml:space="preserve">m5.large (標準) [2vCPU：8GiB] </v>
      </c>
      <c r="C259" s="113" t="s">
        <v>328</v>
      </c>
      <c r="D259" s="113" t="s">
        <v>329</v>
      </c>
      <c r="E259" s="113">
        <v>2</v>
      </c>
      <c r="F259" s="113">
        <v>8</v>
      </c>
      <c r="G259" s="113"/>
    </row>
    <row r="260" spans="2:7">
      <c r="B260" t="str">
        <f>インスタンスタイプ[[#This Row],[名前]]&amp;" ("&amp;インスタンスタイプ[[#This Row],[種別]]&amp;")"&amp;" ["&amp;インスタンスタイプ[[#This Row],[vCPU]]&amp;"vCPU"&amp;"："&amp;インスタンスタイプ[[#This Row],[Memory]]&amp;"GiB] "</f>
        <v xml:space="preserve">m5.xlarge (標準) [4vCPU：16GiB] </v>
      </c>
      <c r="C260" s="113" t="s">
        <v>328</v>
      </c>
      <c r="D260" s="113" t="s">
        <v>330</v>
      </c>
      <c r="E260" s="113">
        <v>4</v>
      </c>
      <c r="F260" s="113">
        <v>16</v>
      </c>
      <c r="G260" s="113"/>
    </row>
    <row r="261" spans="2:7">
      <c r="B261" t="str">
        <f>インスタンスタイプ[[#This Row],[名前]]&amp;" ("&amp;インスタンスタイプ[[#This Row],[種別]]&amp;")"&amp;" ["&amp;インスタンスタイプ[[#This Row],[vCPU]]&amp;"vCPU"&amp;"："&amp;インスタンスタイプ[[#This Row],[Memory]]&amp;"GiB] "</f>
        <v xml:space="preserve">m5.2xlarge (標準) [8vCPU：32GiB] </v>
      </c>
      <c r="C261" s="113" t="s">
        <v>328</v>
      </c>
      <c r="D261" s="113" t="s">
        <v>331</v>
      </c>
      <c r="E261" s="113">
        <v>8</v>
      </c>
      <c r="F261" s="113">
        <v>32</v>
      </c>
      <c r="G261" s="113"/>
    </row>
    <row r="262" spans="2:7">
      <c r="B262" t="str">
        <f>インスタンスタイプ[[#This Row],[名前]]&amp;" ("&amp;インスタンスタイプ[[#This Row],[種別]]&amp;")"&amp;" ["&amp;インスタンスタイプ[[#This Row],[vCPU]]&amp;"vCPU"&amp;"："&amp;インスタンスタイプ[[#This Row],[Memory]]&amp;"GiB] "</f>
        <v xml:space="preserve">m5.4xlarge (標準) [16vCPU：64GiB] </v>
      </c>
      <c r="C262" s="113" t="s">
        <v>328</v>
      </c>
      <c r="D262" s="113" t="s">
        <v>332</v>
      </c>
      <c r="E262" s="113">
        <v>16</v>
      </c>
      <c r="F262" s="113">
        <v>64</v>
      </c>
      <c r="G262" s="113"/>
    </row>
    <row r="263" spans="2:7">
      <c r="B263" t="str">
        <f>インスタンスタイプ[[#This Row],[名前]]&amp;" ("&amp;インスタンスタイプ[[#This Row],[種別]]&amp;")"&amp;" ["&amp;インスタンスタイプ[[#This Row],[vCPU]]&amp;"vCPU"&amp;"："&amp;インスタンスタイプ[[#This Row],[Memory]]&amp;"GiB] "</f>
        <v xml:space="preserve">m5.8xlarge (標準) [32vCPU：128GiB] </v>
      </c>
      <c r="C263" s="113" t="s">
        <v>328</v>
      </c>
      <c r="D263" s="113" t="s">
        <v>333</v>
      </c>
      <c r="E263" s="113">
        <v>32</v>
      </c>
      <c r="F263" s="113">
        <v>128</v>
      </c>
      <c r="G263" s="113"/>
    </row>
    <row r="264" spans="2:7">
      <c r="B264" t="str">
        <f>インスタンスタイプ[[#This Row],[名前]]&amp;" ("&amp;インスタンスタイプ[[#This Row],[種別]]&amp;")"&amp;" ["&amp;インスタンスタイプ[[#This Row],[vCPU]]&amp;"vCPU"&amp;"："&amp;インスタンスタイプ[[#This Row],[Memory]]&amp;"GiB] "</f>
        <v xml:space="preserve">m5.12xlarge (標準) [48vCPU：192GiB] </v>
      </c>
      <c r="C264" s="113" t="s">
        <v>328</v>
      </c>
      <c r="D264" s="113" t="s">
        <v>334</v>
      </c>
      <c r="E264" s="113">
        <v>48</v>
      </c>
      <c r="F264" s="113">
        <v>192</v>
      </c>
      <c r="G264" s="113"/>
    </row>
    <row r="265" spans="2:7">
      <c r="B265" t="str">
        <f>インスタンスタイプ[[#This Row],[名前]]&amp;" ("&amp;インスタンスタイプ[[#This Row],[種別]]&amp;")"&amp;" ["&amp;インスタンスタイプ[[#This Row],[vCPU]]&amp;"vCPU"&amp;"："&amp;インスタンスタイプ[[#This Row],[Memory]]&amp;"GiB] "</f>
        <v xml:space="preserve">m5.16xlarge (標準) [64vCPU：256GiB] </v>
      </c>
      <c r="C265" s="113" t="s">
        <v>328</v>
      </c>
      <c r="D265" s="113" t="s">
        <v>335</v>
      </c>
      <c r="E265" s="113">
        <v>64</v>
      </c>
      <c r="F265" s="113">
        <v>256</v>
      </c>
      <c r="G265" s="113"/>
    </row>
    <row r="266" spans="2:7">
      <c r="B266" t="str">
        <f>インスタンスタイプ[[#This Row],[名前]]&amp;" ("&amp;インスタンスタイプ[[#This Row],[種別]]&amp;")"&amp;" ["&amp;インスタンスタイプ[[#This Row],[vCPU]]&amp;"vCPU"&amp;"："&amp;インスタンスタイプ[[#This Row],[Memory]]&amp;"GiB] "</f>
        <v xml:space="preserve">m5.24xlarge (標準) [96vCPU：384GiB] </v>
      </c>
      <c r="C266" s="113" t="s">
        <v>328</v>
      </c>
      <c r="D266" s="113" t="s">
        <v>336</v>
      </c>
      <c r="E266" s="113">
        <v>96</v>
      </c>
      <c r="F266" s="113">
        <v>384</v>
      </c>
      <c r="G266" s="113"/>
    </row>
    <row r="267" spans="2:7">
      <c r="B267" s="1" t="str">
        <f>インスタンスタイプ[[#This Row],[名前]]&amp;" ("&amp;インスタンスタイプ[[#This Row],[種別]]&amp;")"&amp;" ["&amp;インスタンスタイプ[[#This Row],[vCPU]]&amp;"vCPU"&amp;"："&amp;インスタンスタイプ[[#This Row],[Memory]]&amp;"GiB] "</f>
        <v xml:space="preserve">m6i.large (標準) [2vCPU：8GiB] </v>
      </c>
      <c r="C267" s="113" t="s">
        <v>328</v>
      </c>
      <c r="D267" s="113" t="s">
        <v>630</v>
      </c>
      <c r="E267" s="113">
        <v>2</v>
      </c>
      <c r="F267" s="113">
        <v>8</v>
      </c>
      <c r="G267" s="113"/>
    </row>
    <row r="268" spans="2:7">
      <c r="B268" s="1" t="str">
        <f>インスタンスタイプ[[#This Row],[名前]]&amp;" ("&amp;インスタンスタイプ[[#This Row],[種別]]&amp;")"&amp;" ["&amp;インスタンスタイプ[[#This Row],[vCPU]]&amp;"vCPU"&amp;"："&amp;インスタンスタイプ[[#This Row],[Memory]]&amp;"GiB] "</f>
        <v xml:space="preserve">m6i.xlarge (標準) [4vCPU：16GiB] </v>
      </c>
      <c r="C268" s="113" t="s">
        <v>328</v>
      </c>
      <c r="D268" s="113" t="s">
        <v>631</v>
      </c>
      <c r="E268" s="113">
        <v>4</v>
      </c>
      <c r="F268" s="113">
        <v>16</v>
      </c>
      <c r="G268" s="113"/>
    </row>
    <row r="269" spans="2:7">
      <c r="B269" s="1" t="str">
        <f>インスタンスタイプ[[#This Row],[名前]]&amp;" ("&amp;インスタンスタイプ[[#This Row],[種別]]&amp;")"&amp;" ["&amp;インスタンスタイプ[[#This Row],[vCPU]]&amp;"vCPU"&amp;"："&amp;インスタンスタイプ[[#This Row],[Memory]]&amp;"GiB] "</f>
        <v xml:space="preserve">m6i.2xlarge (標準) [8vCPU：32GiB] </v>
      </c>
      <c r="C269" s="113" t="s">
        <v>328</v>
      </c>
      <c r="D269" s="113" t="s">
        <v>632</v>
      </c>
      <c r="E269" s="113">
        <v>8</v>
      </c>
      <c r="F269" s="113">
        <v>32</v>
      </c>
      <c r="G269" s="113"/>
    </row>
    <row r="270" spans="2:7">
      <c r="B270" s="1" t="str">
        <f>インスタンスタイプ[[#This Row],[名前]]&amp;" ("&amp;インスタンスタイプ[[#This Row],[種別]]&amp;")"&amp;" ["&amp;インスタンスタイプ[[#This Row],[vCPU]]&amp;"vCPU"&amp;"："&amp;インスタンスタイプ[[#This Row],[Memory]]&amp;"GiB] "</f>
        <v xml:space="preserve">m6i.4xlarge (標準) [16vCPU：64GiB] </v>
      </c>
      <c r="C270" s="113" t="s">
        <v>328</v>
      </c>
      <c r="D270" s="113" t="s">
        <v>633</v>
      </c>
      <c r="E270" s="113">
        <v>16</v>
      </c>
      <c r="F270" s="113">
        <v>64</v>
      </c>
      <c r="G270" s="113"/>
    </row>
    <row r="271" spans="2:7">
      <c r="B271" s="1" t="str">
        <f>インスタンスタイプ[[#This Row],[名前]]&amp;" ("&amp;インスタンスタイプ[[#This Row],[種別]]&amp;")"&amp;" ["&amp;インスタンスタイプ[[#This Row],[vCPU]]&amp;"vCPU"&amp;"："&amp;インスタンスタイプ[[#This Row],[Memory]]&amp;"GiB] "</f>
        <v xml:space="preserve">m6i.8xlarge (標準) [32vCPU：128GiB] </v>
      </c>
      <c r="C271" s="113" t="s">
        <v>328</v>
      </c>
      <c r="D271" s="113" t="s">
        <v>634</v>
      </c>
      <c r="E271" s="113">
        <v>32</v>
      </c>
      <c r="F271" s="113">
        <v>128</v>
      </c>
      <c r="G271" s="113"/>
    </row>
    <row r="272" spans="2:7">
      <c r="B272" s="1" t="str">
        <f>インスタンスタイプ[[#This Row],[名前]]&amp;" ("&amp;インスタンスタイプ[[#This Row],[種別]]&amp;")"&amp;" ["&amp;インスタンスタイプ[[#This Row],[vCPU]]&amp;"vCPU"&amp;"："&amp;インスタンスタイプ[[#This Row],[Memory]]&amp;"GiB] "</f>
        <v xml:space="preserve">m6i.12xlarge (標準) [48vCPU：192GiB] </v>
      </c>
      <c r="C272" s="113" t="s">
        <v>328</v>
      </c>
      <c r="D272" s="113" t="s">
        <v>635</v>
      </c>
      <c r="E272" s="113">
        <v>48</v>
      </c>
      <c r="F272" s="113">
        <v>192</v>
      </c>
      <c r="G272" s="113"/>
    </row>
    <row r="273" spans="2:7">
      <c r="B273" s="1" t="str">
        <f>インスタンスタイプ[[#This Row],[名前]]&amp;" ("&amp;インスタンスタイプ[[#This Row],[種別]]&amp;")"&amp;" ["&amp;インスタンスタイプ[[#This Row],[vCPU]]&amp;"vCPU"&amp;"："&amp;インスタンスタイプ[[#This Row],[Memory]]&amp;"GiB] "</f>
        <v xml:space="preserve">m6i.16xlarge (標準) [64vCPU：256GiB] </v>
      </c>
      <c r="C273" s="113" t="s">
        <v>328</v>
      </c>
      <c r="D273" s="113" t="s">
        <v>636</v>
      </c>
      <c r="E273" s="113">
        <v>64</v>
      </c>
      <c r="F273" s="113">
        <v>256</v>
      </c>
      <c r="G273" s="113"/>
    </row>
    <row r="274" spans="2:7">
      <c r="B274" s="1" t="str">
        <f>インスタンスタイプ[[#This Row],[名前]]&amp;" ("&amp;インスタンスタイプ[[#This Row],[種別]]&amp;")"&amp;" ["&amp;インスタンスタイプ[[#This Row],[vCPU]]&amp;"vCPU"&amp;"："&amp;インスタンスタイプ[[#This Row],[Memory]]&amp;"GiB] "</f>
        <v xml:space="preserve">m6i.24xlarge (標準) [96vCPU：384GiB] </v>
      </c>
      <c r="C274" s="113" t="s">
        <v>328</v>
      </c>
      <c r="D274" s="113" t="s">
        <v>637</v>
      </c>
      <c r="E274" s="113">
        <v>96</v>
      </c>
      <c r="F274" s="113">
        <v>384</v>
      </c>
      <c r="G274" s="113"/>
    </row>
    <row r="275" spans="2:7">
      <c r="B275" s="1" t="str">
        <f>インスタンスタイプ[[#This Row],[名前]]&amp;" ("&amp;インスタンスタイプ[[#This Row],[種別]]&amp;")"&amp;" ["&amp;インスタンスタイプ[[#This Row],[vCPU]]&amp;"vCPU"&amp;"："&amp;インスタンスタイプ[[#This Row],[Memory]]&amp;"GiB] "</f>
        <v xml:space="preserve">m6i.32xlarge (標準) [128vCPU：512GiB] </v>
      </c>
      <c r="C275" s="113" t="s">
        <v>328</v>
      </c>
      <c r="D275" s="113" t="s">
        <v>638</v>
      </c>
      <c r="E275" s="113">
        <v>128</v>
      </c>
      <c r="F275" s="113">
        <v>512</v>
      </c>
      <c r="G275" s="113"/>
    </row>
    <row r="276" spans="2:7">
      <c r="B276" s="1" t="str">
        <f>インスタンスタイプ[[#This Row],[名前]]&amp;" ("&amp;インスタンスタイプ[[#This Row],[種別]]&amp;")"&amp;" ["&amp;インスタンスタイプ[[#This Row],[vCPU]]&amp;"vCPU"&amp;"："&amp;インスタンスタイプ[[#This Row],[Memory]]&amp;"GiB] "</f>
        <v xml:space="preserve">m7i-flex.large (標準) [2vCPU：8GiB] </v>
      </c>
      <c r="C276" s="113" t="s">
        <v>328</v>
      </c>
      <c r="D276" s="113" t="s">
        <v>1055</v>
      </c>
      <c r="E276" s="113">
        <v>2</v>
      </c>
      <c r="F276" s="113">
        <v>8</v>
      </c>
      <c r="G276" s="113"/>
    </row>
    <row r="277" spans="2:7">
      <c r="B277" s="1" t="str">
        <f>インスタンスタイプ[[#This Row],[名前]]&amp;" ("&amp;インスタンスタイプ[[#This Row],[種別]]&amp;")"&amp;" ["&amp;インスタンスタイプ[[#This Row],[vCPU]]&amp;"vCPU"&amp;"："&amp;インスタンスタイプ[[#This Row],[Memory]]&amp;"GiB] "</f>
        <v xml:space="preserve">m7i-flex.xlarge (標準) [4vCPU：16GiB] </v>
      </c>
      <c r="C277" s="113" t="s">
        <v>328</v>
      </c>
      <c r="D277" s="113" t="s">
        <v>1056</v>
      </c>
      <c r="E277" s="113">
        <v>4</v>
      </c>
      <c r="F277" s="113">
        <v>16</v>
      </c>
      <c r="G277" s="113"/>
    </row>
    <row r="278" spans="2:7">
      <c r="B278" s="1" t="str">
        <f>インスタンスタイプ[[#This Row],[名前]]&amp;" ("&amp;インスタンスタイプ[[#This Row],[種別]]&amp;")"&amp;" ["&amp;インスタンスタイプ[[#This Row],[vCPU]]&amp;"vCPU"&amp;"："&amp;インスタンスタイプ[[#This Row],[Memory]]&amp;"GiB] "</f>
        <v xml:space="preserve">m7i-flex.2xlarge (標準) [8vCPU：32GiB] </v>
      </c>
      <c r="C278" s="113" t="s">
        <v>328</v>
      </c>
      <c r="D278" s="113" t="s">
        <v>1057</v>
      </c>
      <c r="E278" s="113">
        <v>8</v>
      </c>
      <c r="F278" s="113">
        <v>32</v>
      </c>
      <c r="G278" s="113"/>
    </row>
    <row r="279" spans="2:7">
      <c r="B279" s="1" t="str">
        <f>インスタンスタイプ[[#This Row],[名前]]&amp;" ("&amp;インスタンスタイプ[[#This Row],[種別]]&amp;")"&amp;" ["&amp;インスタンスタイプ[[#This Row],[vCPU]]&amp;"vCPU"&amp;"："&amp;インスタンスタイプ[[#This Row],[Memory]]&amp;"GiB] "</f>
        <v xml:space="preserve">m7i-flex.4xlarge (標準) [16vCPU：64GiB] </v>
      </c>
      <c r="C279" s="113" t="s">
        <v>328</v>
      </c>
      <c r="D279" s="113" t="s">
        <v>1058</v>
      </c>
      <c r="E279" s="113">
        <v>16</v>
      </c>
      <c r="F279" s="113">
        <v>64</v>
      </c>
      <c r="G279" s="113"/>
    </row>
    <row r="280" spans="2:7">
      <c r="B280" s="1" t="str">
        <f>インスタンスタイプ[[#This Row],[名前]]&amp;" ("&amp;インスタンスタイプ[[#This Row],[種別]]&amp;")"&amp;" ["&amp;インスタンスタイプ[[#This Row],[vCPU]]&amp;"vCPU"&amp;"："&amp;インスタンスタイプ[[#This Row],[Memory]]&amp;"GiB] "</f>
        <v xml:space="preserve">m7i-flex.8xlarge	 (標準) [32vCPU：128GiB] </v>
      </c>
      <c r="C280" s="113" t="s">
        <v>328</v>
      </c>
      <c r="D280" s="113" t="s">
        <v>1059</v>
      </c>
      <c r="E280" s="113">
        <v>32</v>
      </c>
      <c r="F280" s="113">
        <v>128</v>
      </c>
      <c r="G280" s="113"/>
    </row>
    <row r="281" spans="2:7">
      <c r="B281" t="str">
        <f>インスタンスタイプ[[#This Row],[名前]]&amp;" ("&amp;インスタンスタイプ[[#This Row],[種別]]&amp;")"&amp;" ["&amp;インスタンスタイプ[[#This Row],[vCPU]]&amp;"vCPU"&amp;"："&amp;インスタンスタイプ[[#This Row],[Memory]]&amp;"GiB] "</f>
        <v xml:space="preserve">r5.large (メモリー強化) [2vCPU：16GiB] </v>
      </c>
      <c r="C281" s="113" t="s">
        <v>337</v>
      </c>
      <c r="D281" s="113" t="s">
        <v>338</v>
      </c>
      <c r="E281" s="113">
        <v>2</v>
      </c>
      <c r="F281" s="113">
        <v>16</v>
      </c>
      <c r="G281" s="113"/>
    </row>
    <row r="282" spans="2:7">
      <c r="B282" t="str">
        <f>インスタンスタイプ[[#This Row],[名前]]&amp;" ("&amp;インスタンスタイプ[[#This Row],[種別]]&amp;")"&amp;" ["&amp;インスタンスタイプ[[#This Row],[vCPU]]&amp;"vCPU"&amp;"："&amp;インスタンスタイプ[[#This Row],[Memory]]&amp;"GiB] "</f>
        <v xml:space="preserve">r5.xlarge (メモリー強化) [4vCPU：32GiB] </v>
      </c>
      <c r="C282" s="113" t="s">
        <v>337</v>
      </c>
      <c r="D282" s="113" t="s">
        <v>339</v>
      </c>
      <c r="E282" s="113">
        <v>4</v>
      </c>
      <c r="F282" s="113">
        <v>32</v>
      </c>
      <c r="G282" s="113"/>
    </row>
    <row r="283" spans="2:7">
      <c r="B283" t="str">
        <f>インスタンスタイプ[[#This Row],[名前]]&amp;" ("&amp;インスタンスタイプ[[#This Row],[種別]]&amp;")"&amp;" ["&amp;インスタンスタイプ[[#This Row],[vCPU]]&amp;"vCPU"&amp;"："&amp;インスタンスタイプ[[#This Row],[Memory]]&amp;"GiB] "</f>
        <v xml:space="preserve">r5.2xlarge (メモリー強化) [8vCPU：64GiB] </v>
      </c>
      <c r="C283" s="113" t="s">
        <v>337</v>
      </c>
      <c r="D283" s="113" t="s">
        <v>340</v>
      </c>
      <c r="E283" s="113">
        <v>8</v>
      </c>
      <c r="F283" s="113">
        <v>64</v>
      </c>
      <c r="G283" s="113"/>
    </row>
    <row r="284" spans="2:7">
      <c r="B284" t="str">
        <f>インスタンスタイプ[[#This Row],[名前]]&amp;" ("&amp;インスタンスタイプ[[#This Row],[種別]]&amp;")"&amp;" ["&amp;インスタンスタイプ[[#This Row],[vCPU]]&amp;"vCPU"&amp;"："&amp;インスタンスタイプ[[#This Row],[Memory]]&amp;"GiB] "</f>
        <v xml:space="preserve">r5.4xlarge (メモリー強化) [16vCPU：128GiB] </v>
      </c>
      <c r="C284" s="113" t="s">
        <v>337</v>
      </c>
      <c r="D284" s="113" t="s">
        <v>341</v>
      </c>
      <c r="E284" s="113">
        <v>16</v>
      </c>
      <c r="F284" s="113">
        <v>128</v>
      </c>
      <c r="G284" s="113"/>
    </row>
    <row r="285" spans="2:7">
      <c r="B285" t="str">
        <f>インスタンスタイプ[[#This Row],[名前]]&amp;" ("&amp;インスタンスタイプ[[#This Row],[種別]]&amp;")"&amp;" ["&amp;インスタンスタイプ[[#This Row],[vCPU]]&amp;"vCPU"&amp;"："&amp;インスタンスタイプ[[#This Row],[Memory]]&amp;"GiB] "</f>
        <v xml:space="preserve">r5.8xlarge (メモリー強化) [32vCPU：256GiB] </v>
      </c>
      <c r="C285" s="113" t="s">
        <v>337</v>
      </c>
      <c r="D285" s="113" t="s">
        <v>342</v>
      </c>
      <c r="E285" s="113">
        <v>32</v>
      </c>
      <c r="F285" s="113">
        <v>256</v>
      </c>
      <c r="G285" s="113"/>
    </row>
    <row r="286" spans="2:7">
      <c r="B286" t="str">
        <f>インスタンスタイプ[[#This Row],[名前]]&amp;" ("&amp;インスタンスタイプ[[#This Row],[種別]]&amp;")"&amp;" ["&amp;インスタンスタイプ[[#This Row],[vCPU]]&amp;"vCPU"&amp;"："&amp;インスタンスタイプ[[#This Row],[Memory]]&amp;"GiB] "</f>
        <v xml:space="preserve">r5.12xlarge (メモリー強化) [48vCPU：384GiB] </v>
      </c>
      <c r="C286" s="113" t="s">
        <v>337</v>
      </c>
      <c r="D286" s="113" t="s">
        <v>343</v>
      </c>
      <c r="E286" s="113">
        <v>48</v>
      </c>
      <c r="F286" s="113">
        <v>384</v>
      </c>
      <c r="G286" s="113"/>
    </row>
    <row r="287" spans="2:7">
      <c r="B287" t="str">
        <f>インスタンスタイプ[[#This Row],[名前]]&amp;" ("&amp;インスタンスタイプ[[#This Row],[種別]]&amp;")"&amp;" ["&amp;インスタンスタイプ[[#This Row],[vCPU]]&amp;"vCPU"&amp;"："&amp;インスタンスタイプ[[#This Row],[Memory]]&amp;"GiB] "</f>
        <v xml:space="preserve">r5.16xlarge (メモリー強化) [64vCPU：512GiB] </v>
      </c>
      <c r="C287" s="113" t="s">
        <v>337</v>
      </c>
      <c r="D287" s="113" t="s">
        <v>344</v>
      </c>
      <c r="E287" s="113">
        <v>64</v>
      </c>
      <c r="F287" s="113">
        <v>512</v>
      </c>
      <c r="G287" s="113"/>
    </row>
    <row r="288" spans="2:7">
      <c r="B288" t="str">
        <f>インスタンスタイプ[[#This Row],[名前]]&amp;" ("&amp;インスタンスタイプ[[#This Row],[種別]]&amp;")"&amp;" ["&amp;インスタンスタイプ[[#This Row],[vCPU]]&amp;"vCPU"&amp;"："&amp;インスタンスタイプ[[#This Row],[Memory]]&amp;"GiB] "</f>
        <v xml:space="preserve">r5.24xlarge (メモリー強化) [96vCPU：768GiB] </v>
      </c>
      <c r="C288" s="113" t="s">
        <v>337</v>
      </c>
      <c r="D288" s="113" t="s">
        <v>345</v>
      </c>
      <c r="E288" s="113">
        <v>96</v>
      </c>
      <c r="F288" s="113">
        <v>768</v>
      </c>
      <c r="G288" s="113"/>
    </row>
    <row r="289" spans="2:7">
      <c r="B289" s="1" t="str">
        <f>インスタンスタイプ[[#This Row],[名前]]&amp;" ("&amp;インスタンスタイプ[[#This Row],[種別]]&amp;")"&amp;" ["&amp;インスタンスタイプ[[#This Row],[vCPU]]&amp;"vCPU"&amp;"："&amp;インスタンスタイプ[[#This Row],[Memory]]&amp;"GiB] "</f>
        <v xml:space="preserve">r6i.large (メモリー強化) [2vCPU：16GiB] </v>
      </c>
      <c r="C289" s="113" t="s">
        <v>337</v>
      </c>
      <c r="D289" s="113" t="s">
        <v>688</v>
      </c>
      <c r="E289" s="113">
        <v>2</v>
      </c>
      <c r="F289" s="113">
        <v>16</v>
      </c>
      <c r="G289" s="113"/>
    </row>
    <row r="290" spans="2:7">
      <c r="B290" s="1" t="str">
        <f>インスタンスタイプ[[#This Row],[名前]]&amp;" ("&amp;インスタンスタイプ[[#This Row],[種別]]&amp;")"&amp;" ["&amp;インスタンスタイプ[[#This Row],[vCPU]]&amp;"vCPU"&amp;"："&amp;インスタンスタイプ[[#This Row],[Memory]]&amp;"GiB] "</f>
        <v xml:space="preserve">r6i.xlarge (メモリー強化) [4vCPU：32GiB] </v>
      </c>
      <c r="C290" s="113" t="s">
        <v>337</v>
      </c>
      <c r="D290" s="113" t="s">
        <v>689</v>
      </c>
      <c r="E290" s="113">
        <v>4</v>
      </c>
      <c r="F290" s="113">
        <v>32</v>
      </c>
      <c r="G290" s="113"/>
    </row>
    <row r="291" spans="2:7">
      <c r="B291" s="1" t="str">
        <f>インスタンスタイプ[[#This Row],[名前]]&amp;" ("&amp;インスタンスタイプ[[#This Row],[種別]]&amp;")"&amp;" ["&amp;インスタンスタイプ[[#This Row],[vCPU]]&amp;"vCPU"&amp;"："&amp;インスタンスタイプ[[#This Row],[Memory]]&amp;"GiB] "</f>
        <v xml:space="preserve">r6i.2xlarge (メモリー強化) [8vCPU：64GiB] </v>
      </c>
      <c r="C291" s="113" t="s">
        <v>337</v>
      </c>
      <c r="D291" s="113" t="s">
        <v>690</v>
      </c>
      <c r="E291" s="113">
        <v>8</v>
      </c>
      <c r="F291" s="113">
        <v>64</v>
      </c>
      <c r="G291" s="113"/>
    </row>
    <row r="292" spans="2:7">
      <c r="B292" s="1" t="str">
        <f>インスタンスタイプ[[#This Row],[名前]]&amp;" ("&amp;インスタンスタイプ[[#This Row],[種別]]&amp;")"&amp;" ["&amp;インスタンスタイプ[[#This Row],[vCPU]]&amp;"vCPU"&amp;"："&amp;インスタンスタイプ[[#This Row],[Memory]]&amp;"GiB] "</f>
        <v xml:space="preserve">r6i.4xlarge (メモリー強化) [16vCPU：128GiB] </v>
      </c>
      <c r="C292" s="113" t="s">
        <v>337</v>
      </c>
      <c r="D292" s="113" t="s">
        <v>691</v>
      </c>
      <c r="E292" s="113">
        <v>16</v>
      </c>
      <c r="F292" s="113">
        <v>128</v>
      </c>
      <c r="G292" s="113"/>
    </row>
    <row r="293" spans="2:7">
      <c r="B293" s="1" t="str">
        <f>インスタンスタイプ[[#This Row],[名前]]&amp;" ("&amp;インスタンスタイプ[[#This Row],[種別]]&amp;")"&amp;" ["&amp;インスタンスタイプ[[#This Row],[vCPU]]&amp;"vCPU"&amp;"："&amp;インスタンスタイプ[[#This Row],[Memory]]&amp;"GiB] "</f>
        <v xml:space="preserve">r6i.8xlarge (メモリー強化) [32vCPU：256GiB] </v>
      </c>
      <c r="C293" s="113" t="s">
        <v>337</v>
      </c>
      <c r="D293" s="113" t="s">
        <v>692</v>
      </c>
      <c r="E293" s="113">
        <v>32</v>
      </c>
      <c r="F293" s="113">
        <v>256</v>
      </c>
      <c r="G293" s="113"/>
    </row>
    <row r="294" spans="2:7">
      <c r="B294" s="1" t="str">
        <f>インスタンスタイプ[[#This Row],[名前]]&amp;" ("&amp;インスタンスタイプ[[#This Row],[種別]]&amp;")"&amp;" ["&amp;インスタンスタイプ[[#This Row],[vCPU]]&amp;"vCPU"&amp;"："&amp;インスタンスタイプ[[#This Row],[Memory]]&amp;"GiB] "</f>
        <v xml:space="preserve">r6i.12xlarge (メモリー強化) [48vCPU：384GiB] </v>
      </c>
      <c r="C294" s="113" t="s">
        <v>337</v>
      </c>
      <c r="D294" s="113" t="s">
        <v>693</v>
      </c>
      <c r="E294" s="113">
        <v>48</v>
      </c>
      <c r="F294" s="113">
        <v>384</v>
      </c>
      <c r="G294" s="113"/>
    </row>
    <row r="295" spans="2:7">
      <c r="B295" s="1" t="str">
        <f>インスタンスタイプ[[#This Row],[名前]]&amp;" ("&amp;インスタンスタイプ[[#This Row],[種別]]&amp;")"&amp;" ["&amp;インスタンスタイプ[[#This Row],[vCPU]]&amp;"vCPU"&amp;"："&amp;インスタンスタイプ[[#This Row],[Memory]]&amp;"GiB] "</f>
        <v xml:space="preserve">r6i.16xlarge (メモリー強化) [64vCPU：512GiB] </v>
      </c>
      <c r="C295" s="113" t="s">
        <v>337</v>
      </c>
      <c r="D295" s="113" t="s">
        <v>694</v>
      </c>
      <c r="E295" s="113">
        <v>64</v>
      </c>
      <c r="F295" s="113">
        <v>512</v>
      </c>
      <c r="G295" s="113"/>
    </row>
    <row r="296" spans="2:7">
      <c r="B296" s="1" t="str">
        <f>インスタンスタイプ[[#This Row],[名前]]&amp;" ("&amp;インスタンスタイプ[[#This Row],[種別]]&amp;")"&amp;" ["&amp;インスタンスタイプ[[#This Row],[vCPU]]&amp;"vCPU"&amp;"："&amp;インスタンスタイプ[[#This Row],[Memory]]&amp;"GiB] "</f>
        <v xml:space="preserve">r6i.24xlarge (メモリー強化) [96vCPU：768GiB] </v>
      </c>
      <c r="C296" s="113" t="s">
        <v>337</v>
      </c>
      <c r="D296" s="113" t="s">
        <v>695</v>
      </c>
      <c r="E296" s="113">
        <v>96</v>
      </c>
      <c r="F296" s="113">
        <v>768</v>
      </c>
      <c r="G296" s="113"/>
    </row>
    <row r="297" spans="2:7">
      <c r="B297" s="1" t="str">
        <f>インスタンスタイプ[[#This Row],[名前]]&amp;" ("&amp;インスタンスタイプ[[#This Row],[種別]]&amp;")"&amp;" ["&amp;インスタンスタイプ[[#This Row],[vCPU]]&amp;"vCPU"&amp;"："&amp;インスタンスタイプ[[#This Row],[Memory]]&amp;"GiB] "</f>
        <v xml:space="preserve">r6i.32xlarge (メモリー強化) [128vCPU：1024GiB] </v>
      </c>
      <c r="C297" s="113" t="s">
        <v>337</v>
      </c>
      <c r="D297" s="113" t="s">
        <v>696</v>
      </c>
      <c r="E297" s="113">
        <v>128</v>
      </c>
      <c r="F297" s="113">
        <v>1024</v>
      </c>
      <c r="G297" s="113"/>
    </row>
    <row r="298" spans="2:7">
      <c r="B298" s="1" t="str">
        <f>インスタンスタイプ[[#This Row],[名前]]&amp;" ("&amp;インスタンスタイプ[[#This Row],[種別]]&amp;")"&amp;" ["&amp;インスタンスタイプ[[#This Row],[vCPU]]&amp;"vCPU"&amp;"："&amp;インスタンスタイプ[[#This Row],[Memory]]&amp;"GiB] "</f>
        <v xml:space="preserve">r7i.large (メモリー強化) [2vCPU：16GiB] </v>
      </c>
      <c r="C298" s="113" t="s">
        <v>337</v>
      </c>
      <c r="D298" s="113" t="s">
        <v>1024</v>
      </c>
      <c r="E298" s="113">
        <v>2</v>
      </c>
      <c r="F298" s="113">
        <v>16</v>
      </c>
      <c r="G298" s="113"/>
    </row>
    <row r="299" spans="2:7">
      <c r="B299" s="1" t="str">
        <f>インスタンスタイプ[[#This Row],[名前]]&amp;" ("&amp;インスタンスタイプ[[#This Row],[種別]]&amp;")"&amp;" ["&amp;インスタンスタイプ[[#This Row],[vCPU]]&amp;"vCPU"&amp;"："&amp;インスタンスタイプ[[#This Row],[Memory]]&amp;"GiB] "</f>
        <v xml:space="preserve">r7i.xlarge (メモリー強化) [4vCPU：32GiB] </v>
      </c>
      <c r="C299" s="113" t="s">
        <v>337</v>
      </c>
      <c r="D299" s="113" t="s">
        <v>1025</v>
      </c>
      <c r="E299" s="113">
        <v>4</v>
      </c>
      <c r="F299" s="113">
        <v>32</v>
      </c>
      <c r="G299" s="113"/>
    </row>
    <row r="300" spans="2:7">
      <c r="B300" s="1" t="str">
        <f>インスタンスタイプ[[#This Row],[名前]]&amp;" ("&amp;インスタンスタイプ[[#This Row],[種別]]&amp;")"&amp;" ["&amp;インスタンスタイプ[[#This Row],[vCPU]]&amp;"vCPU"&amp;"："&amp;インスタンスタイプ[[#This Row],[Memory]]&amp;"GiB] "</f>
        <v xml:space="preserve">r7i.2xlarge (メモリー強化) [8vCPU：64GiB] </v>
      </c>
      <c r="C300" s="113" t="s">
        <v>337</v>
      </c>
      <c r="D300" s="113" t="s">
        <v>1026</v>
      </c>
      <c r="E300" s="113">
        <v>8</v>
      </c>
      <c r="F300" s="113">
        <v>64</v>
      </c>
      <c r="G300" s="113"/>
    </row>
    <row r="301" spans="2:7">
      <c r="B301" s="1" t="str">
        <f>インスタンスタイプ[[#This Row],[名前]]&amp;" ("&amp;インスタンスタイプ[[#This Row],[種別]]&amp;")"&amp;" ["&amp;インスタンスタイプ[[#This Row],[vCPU]]&amp;"vCPU"&amp;"："&amp;インスタンスタイプ[[#This Row],[Memory]]&amp;"GiB] "</f>
        <v xml:space="preserve">r7i.4xlarge (メモリー強化) [16vCPU：128GiB] </v>
      </c>
      <c r="C301" s="113" t="s">
        <v>337</v>
      </c>
      <c r="D301" s="113" t="s">
        <v>1027</v>
      </c>
      <c r="E301" s="113">
        <v>16</v>
      </c>
      <c r="F301" s="113">
        <v>128</v>
      </c>
      <c r="G301" s="113"/>
    </row>
    <row r="302" spans="2:7">
      <c r="B302" s="1" t="str">
        <f>インスタンスタイプ[[#This Row],[名前]]&amp;" ("&amp;インスタンスタイプ[[#This Row],[種別]]&amp;")"&amp;" ["&amp;インスタンスタイプ[[#This Row],[vCPU]]&amp;"vCPU"&amp;"："&amp;インスタンスタイプ[[#This Row],[Memory]]&amp;"GiB] "</f>
        <v xml:space="preserve">r7i.8xlarge (メモリー強化) [32vCPU：256GiB] </v>
      </c>
      <c r="C302" s="113" t="s">
        <v>337</v>
      </c>
      <c r="D302" s="113" t="s">
        <v>1028</v>
      </c>
      <c r="E302" s="113">
        <v>32</v>
      </c>
      <c r="F302" s="113">
        <v>256</v>
      </c>
      <c r="G302" s="113"/>
    </row>
    <row r="303" spans="2:7">
      <c r="B303" s="1" t="str">
        <f>インスタンスタイプ[[#This Row],[名前]]&amp;" ("&amp;インスタンスタイプ[[#This Row],[種別]]&amp;")"&amp;" ["&amp;インスタンスタイプ[[#This Row],[vCPU]]&amp;"vCPU"&amp;"："&amp;インスタンスタイプ[[#This Row],[Memory]]&amp;"GiB] "</f>
        <v xml:space="preserve">r7i.12xlarge (メモリー強化) [48vCPU：384GiB] </v>
      </c>
      <c r="C303" s="113" t="s">
        <v>337</v>
      </c>
      <c r="D303" s="113" t="s">
        <v>1029</v>
      </c>
      <c r="E303" s="113">
        <v>48</v>
      </c>
      <c r="F303" s="113">
        <v>384</v>
      </c>
      <c r="G303" s="113"/>
    </row>
    <row r="304" spans="2:7">
      <c r="B304" s="1" t="str">
        <f>インスタンスタイプ[[#This Row],[名前]]&amp;" ("&amp;インスタンスタイプ[[#This Row],[種別]]&amp;")"&amp;" ["&amp;インスタンスタイプ[[#This Row],[vCPU]]&amp;"vCPU"&amp;"："&amp;インスタンスタイプ[[#This Row],[Memory]]&amp;"GiB] "</f>
        <v xml:space="preserve">r7i.16xlarge (メモリー強化) [64vCPU：512GiB] </v>
      </c>
      <c r="C304" s="113" t="s">
        <v>337</v>
      </c>
      <c r="D304" s="113" t="s">
        <v>1030</v>
      </c>
      <c r="E304" s="113">
        <v>64</v>
      </c>
      <c r="F304" s="113">
        <v>512</v>
      </c>
      <c r="G304" s="113"/>
    </row>
    <row r="305" spans="1:7">
      <c r="B305" s="1" t="str">
        <f>インスタンスタイプ[[#This Row],[名前]]&amp;" ("&amp;インスタンスタイプ[[#This Row],[種別]]&amp;")"&amp;" ["&amp;インスタンスタイプ[[#This Row],[vCPU]]&amp;"vCPU"&amp;"："&amp;インスタンスタイプ[[#This Row],[Memory]]&amp;"GiB] "</f>
        <v xml:space="preserve">r7i.24xlarge (メモリー強化) [96vCPU：768GiB] </v>
      </c>
      <c r="C305" s="113" t="s">
        <v>337</v>
      </c>
      <c r="D305" s="113" t="s">
        <v>1031</v>
      </c>
      <c r="E305" s="113">
        <v>96</v>
      </c>
      <c r="F305" s="113">
        <v>768</v>
      </c>
      <c r="G305" s="113"/>
    </row>
    <row r="306" spans="1:7">
      <c r="B306" s="1" t="str">
        <f>インスタンスタイプ[[#This Row],[名前]]&amp;" ("&amp;インスタンスタイプ[[#This Row],[種別]]&amp;")"&amp;" ["&amp;インスタンスタイプ[[#This Row],[vCPU]]&amp;"vCPU"&amp;"："&amp;インスタンスタイプ[[#This Row],[Memory]]&amp;"GiB] "</f>
        <v xml:space="preserve">r7i.48xlarge (メモリー強化) [192vCPU：1536GiB] </v>
      </c>
      <c r="C306" s="113" t="s">
        <v>337</v>
      </c>
      <c r="D306" s="113" t="s">
        <v>1032</v>
      </c>
      <c r="E306" s="113">
        <v>192</v>
      </c>
      <c r="F306" s="113">
        <v>1536</v>
      </c>
      <c r="G306" s="113"/>
    </row>
    <row r="307" spans="1:7">
      <c r="C307" s="3"/>
      <c r="D307" s="3"/>
    </row>
    <row r="308" spans="1:7">
      <c r="C308" s="3"/>
      <c r="D308" s="3"/>
    </row>
    <row r="309" spans="1:7">
      <c r="A309" t="s">
        <v>346</v>
      </c>
      <c r="C309" s="3"/>
      <c r="D309" s="3"/>
    </row>
    <row r="310" spans="1:7">
      <c r="B310" t="s">
        <v>70</v>
      </c>
      <c r="C310" s="3"/>
      <c r="D310" s="3"/>
    </row>
    <row r="311" spans="1:7">
      <c r="B311" t="s">
        <v>347</v>
      </c>
      <c r="C311" s="3"/>
      <c r="D311" s="3"/>
    </row>
    <row r="312" spans="1:7">
      <c r="B312" t="s">
        <v>348</v>
      </c>
      <c r="C312" s="3"/>
      <c r="D312" s="3"/>
    </row>
    <row r="313" spans="1:7">
      <c r="B313" t="s">
        <v>349</v>
      </c>
      <c r="C313" s="3"/>
      <c r="D313" s="3"/>
    </row>
    <row r="314" spans="1:7">
      <c r="B314" t="s">
        <v>350</v>
      </c>
      <c r="C314" s="3"/>
      <c r="D314" s="3"/>
    </row>
    <row r="315" spans="1:7">
      <c r="B315" t="s">
        <v>351</v>
      </c>
      <c r="C315" s="3"/>
      <c r="D315" s="3"/>
    </row>
    <row r="316" spans="1:7">
      <c r="B316" t="s">
        <v>352</v>
      </c>
      <c r="C316" s="3"/>
      <c r="D316" s="3"/>
    </row>
    <row r="317" spans="1:7">
      <c r="B317" s="1" t="s">
        <v>353</v>
      </c>
      <c r="C317" s="44"/>
      <c r="D317" s="3"/>
    </row>
    <row r="318" spans="1:7">
      <c r="B318" s="1"/>
      <c r="C318" s="44"/>
      <c r="D318" s="3"/>
    </row>
    <row r="319" spans="1:7">
      <c r="A319" t="s">
        <v>354</v>
      </c>
      <c r="B319" s="1"/>
      <c r="C319" s="59"/>
    </row>
    <row r="320" spans="1:7">
      <c r="B320" s="1" t="s">
        <v>35</v>
      </c>
      <c r="C320" t="s">
        <v>270</v>
      </c>
      <c r="D320" t="s">
        <v>36</v>
      </c>
      <c r="E320" t="s">
        <v>37</v>
      </c>
      <c r="F320" t="s">
        <v>270</v>
      </c>
      <c r="G320" t="s">
        <v>38</v>
      </c>
    </row>
    <row r="321" spans="1:12">
      <c r="B321" s="1" t="s">
        <v>355</v>
      </c>
      <c r="C321" s="1" t="s">
        <v>356</v>
      </c>
      <c r="D321" t="s">
        <v>357</v>
      </c>
      <c r="E321" t="s">
        <v>358</v>
      </c>
      <c r="F321" t="s">
        <v>359</v>
      </c>
      <c r="G321" t="s">
        <v>360</v>
      </c>
    </row>
    <row r="322" spans="1:12">
      <c r="B322" s="59" t="s">
        <v>6</v>
      </c>
      <c r="C322" s="59" t="s">
        <v>361</v>
      </c>
      <c r="D322" t="s">
        <v>362</v>
      </c>
      <c r="G322" t="s">
        <v>363</v>
      </c>
    </row>
    <row r="323" spans="1:12">
      <c r="B323" s="59" t="s">
        <v>364</v>
      </c>
      <c r="C323" s="59" t="s">
        <v>365</v>
      </c>
      <c r="D323" t="s">
        <v>1167</v>
      </c>
      <c r="G323" t="s">
        <v>366</v>
      </c>
    </row>
    <row r="324" spans="1:12">
      <c r="B324" s="59" t="s">
        <v>276</v>
      </c>
      <c r="C324" s="59" t="s">
        <v>367</v>
      </c>
      <c r="G324" t="s">
        <v>368</v>
      </c>
    </row>
    <row r="325" spans="1:12">
      <c r="B325" s="59" t="s">
        <v>278</v>
      </c>
      <c r="C325" s="59" t="s">
        <v>369</v>
      </c>
    </row>
    <row r="326" spans="1:12">
      <c r="B326" s="59" t="s">
        <v>280</v>
      </c>
      <c r="C326" s="59" t="s">
        <v>370</v>
      </c>
    </row>
    <row r="327" spans="1:12">
      <c r="B327" s="59" t="s">
        <v>371</v>
      </c>
      <c r="C327" s="59" t="s">
        <v>372</v>
      </c>
      <c r="D327" s="3"/>
    </row>
    <row r="328" spans="1:12">
      <c r="B328" s="1"/>
      <c r="C328" s="44"/>
      <c r="D328" s="3"/>
    </row>
    <row r="330" spans="1:12">
      <c r="A330" t="s">
        <v>844</v>
      </c>
    </row>
    <row r="331" spans="1:12">
      <c r="B331" t="s">
        <v>374</v>
      </c>
      <c r="C331" t="s">
        <v>375</v>
      </c>
      <c r="D331" t="s">
        <v>376</v>
      </c>
      <c r="E331" t="s">
        <v>377</v>
      </c>
      <c r="F331" t="s">
        <v>197</v>
      </c>
      <c r="G331" t="s">
        <v>285</v>
      </c>
      <c r="H331" t="s">
        <v>291</v>
      </c>
      <c r="I331" t="s">
        <v>378</v>
      </c>
      <c r="J331" t="s">
        <v>379</v>
      </c>
      <c r="K331" t="s">
        <v>380</v>
      </c>
    </row>
    <row r="332" spans="1:12">
      <c r="B332" s="4" t="s">
        <v>841</v>
      </c>
      <c r="C332" s="2" t="s">
        <v>842</v>
      </c>
      <c r="D332" s="1" t="s">
        <v>844</v>
      </c>
      <c r="E332" s="4" t="s">
        <v>845</v>
      </c>
      <c r="F332" s="4" t="s">
        <v>846</v>
      </c>
      <c r="G332" s="4" t="s">
        <v>847</v>
      </c>
      <c r="H332" s="7" t="s">
        <v>386</v>
      </c>
      <c r="I332" s="7" t="str">
        <f>$E$332&amp;"-"&amp;本番運用管理12[[#This Row],[サブネット]]</f>
        <v>vpc-mgmt-network-subnet-public-1a</v>
      </c>
      <c r="J332" s="7" t="s">
        <v>852</v>
      </c>
      <c r="K332" s="7" t="s">
        <v>857</v>
      </c>
      <c r="L332" s="7"/>
    </row>
    <row r="333" spans="1:12">
      <c r="B333" s="4"/>
      <c r="C333" s="2"/>
      <c r="D333" s="1"/>
      <c r="E333" s="4"/>
      <c r="F333" s="4"/>
      <c r="G333" s="4" t="s">
        <v>848</v>
      </c>
      <c r="H333" s="7" t="s">
        <v>293</v>
      </c>
      <c r="I333" s="7" t="str">
        <f>$E$332&amp;"-"&amp;本番運用管理12[[#This Row],[サブネット]]</f>
        <v>vpc-mgmt-network-subnet-public-1c</v>
      </c>
      <c r="J333" s="7" t="s">
        <v>853</v>
      </c>
      <c r="K333" s="7" t="s">
        <v>858</v>
      </c>
      <c r="L333" s="7"/>
    </row>
    <row r="334" spans="1:12">
      <c r="B334" s="4"/>
      <c r="C334" s="2"/>
      <c r="D334" s="1"/>
      <c r="E334" s="4"/>
      <c r="F334" s="4"/>
      <c r="G334" s="4" t="s">
        <v>849</v>
      </c>
      <c r="H334" s="7" t="s">
        <v>294</v>
      </c>
      <c r="I334" s="7" t="str">
        <f>$E$332&amp;"-"&amp;本番運用管理12[[#This Row],[サブネット]]</f>
        <v>vpc-mgmt-network-subnet-public-1d</v>
      </c>
      <c r="J334" s="7" t="s">
        <v>854</v>
      </c>
      <c r="K334" s="7" t="s">
        <v>859</v>
      </c>
      <c r="L334" s="7"/>
    </row>
    <row r="335" spans="1:12">
      <c r="B335" s="4"/>
      <c r="C335" s="2"/>
      <c r="D335" s="1"/>
      <c r="E335" s="4"/>
      <c r="F335" s="4"/>
      <c r="G335" s="4" t="s">
        <v>850</v>
      </c>
      <c r="H335" s="7" t="s">
        <v>386</v>
      </c>
      <c r="I335" s="7" t="str">
        <f>$E$332&amp;"-"&amp;本番運用管理12[[#This Row],[サブネット]]</f>
        <v>vpc-mgmt-network-subnet-protect-1a</v>
      </c>
      <c r="J335" s="7" t="s">
        <v>855</v>
      </c>
      <c r="K335" s="7" t="s">
        <v>860</v>
      </c>
      <c r="L335" s="7"/>
    </row>
    <row r="336" spans="1:12">
      <c r="B336" s="4"/>
      <c r="C336" s="2"/>
      <c r="D336" s="1"/>
      <c r="E336" s="4"/>
      <c r="F336" s="4"/>
      <c r="G336" s="4" t="s">
        <v>851</v>
      </c>
      <c r="H336" s="7" t="s">
        <v>293</v>
      </c>
      <c r="I336" s="7" t="str">
        <f>$E$332&amp;"-"&amp;本番運用管理12[[#This Row],[サブネット]]</f>
        <v>vpc-mgmt-network-subnet-protect-1c</v>
      </c>
      <c r="J336" s="7" t="s">
        <v>856</v>
      </c>
      <c r="K336" s="7" t="s">
        <v>861</v>
      </c>
      <c r="L336" s="7"/>
    </row>
    <row r="337" spans="1:12">
      <c r="B337" s="4"/>
      <c r="C337" s="6"/>
      <c r="D337" s="5"/>
      <c r="E337" s="4"/>
      <c r="F337" s="4"/>
      <c r="G337" s="4"/>
      <c r="H337" s="7"/>
      <c r="I337" s="7"/>
      <c r="J337" s="7"/>
      <c r="K337" s="7"/>
    </row>
    <row r="338" spans="1:12">
      <c r="A338" t="s">
        <v>373</v>
      </c>
    </row>
    <row r="339" spans="1:12">
      <c r="B339" t="s">
        <v>374</v>
      </c>
      <c r="C339" t="s">
        <v>375</v>
      </c>
      <c r="D339" t="s">
        <v>376</v>
      </c>
      <c r="E339" t="s">
        <v>377</v>
      </c>
      <c r="F339" t="s">
        <v>197</v>
      </c>
      <c r="G339" t="s">
        <v>285</v>
      </c>
      <c r="H339" t="s">
        <v>291</v>
      </c>
      <c r="I339" t="s">
        <v>378</v>
      </c>
      <c r="J339" t="s">
        <v>379</v>
      </c>
      <c r="K339" t="s">
        <v>380</v>
      </c>
    </row>
    <row r="340" spans="1:12">
      <c r="B340" s="4" t="s">
        <v>247</v>
      </c>
      <c r="C340" s="2" t="s">
        <v>381</v>
      </c>
      <c r="D340" s="1" t="s">
        <v>382</v>
      </c>
      <c r="E340" s="4" t="s">
        <v>383</v>
      </c>
      <c r="F340" s="4" t="s">
        <v>384</v>
      </c>
      <c r="G340" s="4" t="s">
        <v>385</v>
      </c>
      <c r="H340" s="7" t="s">
        <v>386</v>
      </c>
      <c r="I340" s="7" t="str">
        <f>$E$340&amp;"-"&amp;本番運用管理[[#This Row],[サブネット]]</f>
        <v>vpc-monitoring-prd-internal-subnet-protect-1a</v>
      </c>
      <c r="J340" s="7" t="s">
        <v>387</v>
      </c>
      <c r="K340" s="7" t="s">
        <v>388</v>
      </c>
      <c r="L340" s="7"/>
    </row>
    <row r="341" spans="1:12">
      <c r="B341" s="4"/>
      <c r="C341" s="2"/>
      <c r="D341" s="1"/>
      <c r="E341" s="4"/>
      <c r="F341" s="4"/>
      <c r="G341" s="4" t="s">
        <v>389</v>
      </c>
      <c r="H341" s="7" t="s">
        <v>293</v>
      </c>
      <c r="I341" s="7" t="str">
        <f>$E$340&amp;"-"&amp;本番運用管理[[#This Row],[サブネット]]</f>
        <v>vpc-monitoring-prd-internal-subnet-protect-1c</v>
      </c>
      <c r="J341" s="7" t="s">
        <v>390</v>
      </c>
      <c r="K341" s="7" t="s">
        <v>391</v>
      </c>
      <c r="L341" s="7"/>
    </row>
    <row r="342" spans="1:12">
      <c r="B342" s="4"/>
      <c r="C342" s="2"/>
      <c r="D342" s="1"/>
      <c r="E342" s="4"/>
      <c r="F342" s="4"/>
      <c r="G342" s="4" t="s">
        <v>392</v>
      </c>
      <c r="H342" s="7" t="s">
        <v>386</v>
      </c>
      <c r="I342" s="7" t="str">
        <f>$E$340&amp;"-"&amp;本番運用管理[[#This Row],[サブネット]]</f>
        <v>vpc-monitoring-prd-internal-subnet-private-1a</v>
      </c>
      <c r="J342" s="7" t="s">
        <v>393</v>
      </c>
      <c r="K342" s="7" t="s">
        <v>394</v>
      </c>
      <c r="L342" s="7"/>
    </row>
    <row r="343" spans="1:12">
      <c r="B343" s="4"/>
      <c r="C343" s="2"/>
      <c r="D343" s="1"/>
      <c r="E343" s="4"/>
      <c r="F343" s="4"/>
      <c r="G343" s="4" t="s">
        <v>395</v>
      </c>
      <c r="H343" s="7" t="s">
        <v>293</v>
      </c>
      <c r="I343" s="7" t="str">
        <f>$E$340&amp;"-"&amp;本番運用管理[[#This Row],[サブネット]]</f>
        <v>vpc-monitoring-prd-internal-subnet-private-1c</v>
      </c>
      <c r="J343" s="7" t="s">
        <v>396</v>
      </c>
      <c r="K343" s="7" t="s">
        <v>397</v>
      </c>
      <c r="L343" s="7"/>
    </row>
    <row r="344" spans="1:12">
      <c r="B344" s="4"/>
      <c r="C344" s="2"/>
      <c r="D344" s="1"/>
      <c r="E344" s="4"/>
      <c r="F344" s="4"/>
      <c r="G344" s="4" t="s">
        <v>398</v>
      </c>
      <c r="H344" s="7" t="s">
        <v>294</v>
      </c>
      <c r="I344" s="7" t="str">
        <f>$E$340&amp;"-"&amp;本番運用管理[[#This Row],[サブネット]]</f>
        <v>vpc-monitoring-prd-internal-subnet-private-1d</v>
      </c>
      <c r="J344" s="7" t="s">
        <v>399</v>
      </c>
      <c r="K344" s="7" t="s">
        <v>400</v>
      </c>
      <c r="L344" s="7"/>
    </row>
    <row r="345" spans="1:12">
      <c r="B345" s="4"/>
      <c r="C345" s="6"/>
      <c r="D345" s="5"/>
      <c r="E345" s="4"/>
      <c r="F345" s="4"/>
      <c r="G345" s="4"/>
      <c r="H345" s="7"/>
      <c r="I345" s="7" t="str">
        <f>$E$340&amp;"-"&amp;本番運用管理[[#This Row],[サブネット]]</f>
        <v>vpc-monitoring-prd-internal-</v>
      </c>
      <c r="J345" s="7"/>
      <c r="K345" s="7"/>
      <c r="L345" s="7"/>
    </row>
    <row r="346" spans="1:12">
      <c r="B346" s="4"/>
      <c r="C346" s="6"/>
      <c r="D346" s="5"/>
      <c r="E346" s="4"/>
      <c r="F346" s="4"/>
      <c r="G346" s="4"/>
      <c r="H346" s="7"/>
      <c r="I346" s="7" t="str">
        <f>$E$340&amp;"-"&amp;本番運用管理[[#This Row],[サブネット]]</f>
        <v>vpc-monitoring-prd-internal-</v>
      </c>
      <c r="J346" s="7"/>
      <c r="K346" s="7"/>
      <c r="L346" s="7"/>
    </row>
    <row r="347" spans="1:12">
      <c r="B347" s="4"/>
      <c r="C347" s="6"/>
      <c r="D347" s="5"/>
      <c r="E347" s="4"/>
      <c r="F347" s="4"/>
      <c r="G347" s="4"/>
      <c r="H347" s="7"/>
      <c r="I347" s="7" t="str">
        <f>$E$340&amp;"-"&amp;本番運用管理[[#This Row],[サブネット]]</f>
        <v>vpc-monitoring-prd-internal-</v>
      </c>
      <c r="J347" s="7"/>
      <c r="K347" s="7"/>
      <c r="L347" s="7"/>
    </row>
    <row r="348" spans="1:12">
      <c r="B348" s="4"/>
      <c r="C348" s="6"/>
      <c r="D348" s="5"/>
      <c r="E348" s="4"/>
      <c r="F348" s="4"/>
      <c r="G348" s="4"/>
      <c r="H348" s="7"/>
      <c r="I348" s="7" t="str">
        <f>$E$340&amp;"-"&amp;本番運用管理[[#This Row],[サブネット]]</f>
        <v>vpc-monitoring-prd-internal-</v>
      </c>
      <c r="J348" s="7"/>
      <c r="K348" s="7"/>
      <c r="L348" s="7"/>
    </row>
    <row r="349" spans="1:12">
      <c r="B349" s="4"/>
      <c r="C349" s="2"/>
      <c r="D349" s="1"/>
      <c r="E349" s="4"/>
      <c r="F349" s="4"/>
      <c r="G349" s="4"/>
      <c r="H349" s="7"/>
      <c r="I349" s="7"/>
      <c r="J349" s="7"/>
      <c r="K349" s="7"/>
      <c r="L349" s="7"/>
    </row>
    <row r="350" spans="1:12">
      <c r="B350" s="4"/>
      <c r="C350" s="2"/>
      <c r="D350" s="1"/>
      <c r="E350" s="4"/>
      <c r="F350" s="4"/>
      <c r="G350" s="4"/>
      <c r="H350" s="7"/>
      <c r="I350" s="7"/>
      <c r="J350" s="7"/>
      <c r="K350" s="7"/>
      <c r="L350" s="7"/>
    </row>
    <row r="351" spans="1:12">
      <c r="B351" s="4"/>
      <c r="C351" s="2"/>
      <c r="D351" s="1"/>
      <c r="E351" s="4"/>
      <c r="F351" s="4"/>
      <c r="G351" s="4"/>
      <c r="H351" s="7"/>
      <c r="I351" s="7"/>
      <c r="J351" s="7"/>
      <c r="K351" s="7"/>
      <c r="L351" s="7"/>
    </row>
    <row r="352" spans="1:12">
      <c r="B352" s="4"/>
      <c r="C352" s="2"/>
      <c r="D352" s="1"/>
      <c r="E352" s="4"/>
      <c r="F352" s="4"/>
      <c r="G352" s="4"/>
      <c r="H352" s="7"/>
      <c r="I352" s="7"/>
      <c r="J352" s="7"/>
      <c r="K352" s="7"/>
      <c r="L352" s="7"/>
    </row>
    <row r="353" spans="1:12">
      <c r="B353" s="4"/>
      <c r="C353" s="6"/>
      <c r="D353" s="5"/>
      <c r="E353" s="4"/>
      <c r="F353" s="4"/>
      <c r="G353" s="4"/>
      <c r="H353" s="7"/>
      <c r="I353" s="7"/>
      <c r="J353" s="7"/>
      <c r="K353" s="7"/>
    </row>
    <row r="354" spans="1:12">
      <c r="A354" t="s">
        <v>401</v>
      </c>
      <c r="B354" s="4"/>
      <c r="C354" s="4"/>
      <c r="D354" s="4"/>
      <c r="F354" s="4"/>
      <c r="G354" s="4"/>
      <c r="H354" s="7"/>
      <c r="I354" s="7"/>
    </row>
    <row r="355" spans="1:12">
      <c r="B355" s="4" t="s">
        <v>402</v>
      </c>
      <c r="C355" s="4" t="s">
        <v>403</v>
      </c>
      <c r="D355" t="s">
        <v>376</v>
      </c>
      <c r="E355" s="4" t="s">
        <v>404</v>
      </c>
      <c r="F355" s="4" t="s">
        <v>405</v>
      </c>
      <c r="G355" s="4" t="s">
        <v>406</v>
      </c>
      <c r="H355" s="4" t="s">
        <v>407</v>
      </c>
      <c r="I355" t="s">
        <v>378</v>
      </c>
      <c r="J355" s="4" t="s">
        <v>408</v>
      </c>
      <c r="K355" s="43" t="s">
        <v>409</v>
      </c>
      <c r="L355" s="4"/>
    </row>
    <row r="356" spans="1:12">
      <c r="B356" s="1" t="s">
        <v>261</v>
      </c>
      <c r="C356" s="4" t="s">
        <v>410</v>
      </c>
      <c r="D356" s="4" t="s">
        <v>411</v>
      </c>
      <c r="E356" s="4" t="s">
        <v>412</v>
      </c>
      <c r="F356" s="4" t="s">
        <v>413</v>
      </c>
      <c r="G356" s="4" t="s">
        <v>385</v>
      </c>
      <c r="H356" s="7" t="s">
        <v>292</v>
      </c>
      <c r="I356" s="7" t="str">
        <f>$E$356&amp;"-"&amp;開発運用管理[[#This Row],[サブネット]]</f>
        <v>vpc-monitoring-dev-internal-subnet-protect-1a</v>
      </c>
      <c r="J356" s="7" t="s">
        <v>414</v>
      </c>
      <c r="K356" s="7" t="s">
        <v>415</v>
      </c>
      <c r="L356" s="7"/>
    </row>
    <row r="357" spans="1:12">
      <c r="B357" s="1"/>
      <c r="C357" s="4"/>
      <c r="D357" s="4"/>
      <c r="E357" s="4"/>
      <c r="F357" s="4"/>
      <c r="G357" s="4" t="s">
        <v>389</v>
      </c>
      <c r="H357" s="7" t="s">
        <v>416</v>
      </c>
      <c r="I357" s="7" t="str">
        <f>$E$356&amp;"-"&amp;開発運用管理[[#This Row],[サブネット]]</f>
        <v>vpc-monitoring-dev-internal-subnet-protect-1c</v>
      </c>
      <c r="J357" s="7" t="s">
        <v>417</v>
      </c>
      <c r="K357" s="7" t="s">
        <v>418</v>
      </c>
      <c r="L357" s="7"/>
    </row>
    <row r="358" spans="1:12">
      <c r="B358" s="1"/>
      <c r="C358" s="4"/>
      <c r="D358" s="4"/>
      <c r="E358" s="4"/>
      <c r="F358" s="4"/>
      <c r="G358" s="4" t="s">
        <v>392</v>
      </c>
      <c r="H358" s="7" t="s">
        <v>292</v>
      </c>
      <c r="I358" s="7" t="str">
        <f>$E$356&amp;"-"&amp;開発運用管理[[#This Row],[サブネット]]</f>
        <v>vpc-monitoring-dev-internal-subnet-private-1a</v>
      </c>
      <c r="J358" s="7" t="s">
        <v>419</v>
      </c>
      <c r="K358" s="7" t="s">
        <v>420</v>
      </c>
      <c r="L358" s="7"/>
    </row>
    <row r="359" spans="1:12">
      <c r="B359" s="1"/>
      <c r="C359" s="4"/>
      <c r="D359" s="4"/>
      <c r="E359" s="4"/>
      <c r="F359" s="4"/>
      <c r="G359" s="4" t="s">
        <v>395</v>
      </c>
      <c r="H359" s="7" t="s">
        <v>416</v>
      </c>
      <c r="I359" s="7" t="str">
        <f>$E$356&amp;"-"&amp;開発運用管理[[#This Row],[サブネット]]</f>
        <v>vpc-monitoring-dev-internal-subnet-private-1c</v>
      </c>
      <c r="J359" s="7" t="s">
        <v>421</v>
      </c>
      <c r="K359" s="7" t="s">
        <v>422</v>
      </c>
      <c r="L359" s="7"/>
    </row>
    <row r="360" spans="1:12">
      <c r="B360" s="1"/>
      <c r="C360" s="4"/>
      <c r="D360" s="4"/>
      <c r="E360" s="4"/>
      <c r="F360" s="4"/>
      <c r="G360" s="4" t="s">
        <v>398</v>
      </c>
      <c r="H360" s="7" t="s">
        <v>423</v>
      </c>
      <c r="I360" s="7" t="str">
        <f>$E$356&amp;"-"&amp;開発運用管理[[#This Row],[サブネット]]</f>
        <v>vpc-monitoring-dev-internal-subnet-private-1d</v>
      </c>
      <c r="J360" s="7" t="s">
        <v>424</v>
      </c>
      <c r="K360" s="7" t="s">
        <v>425</v>
      </c>
      <c r="L360" s="7"/>
    </row>
    <row r="361" spans="1:12">
      <c r="B361" s="1"/>
      <c r="C361" s="4"/>
      <c r="D361" s="4"/>
      <c r="E361" s="4"/>
      <c r="F361" s="4"/>
      <c r="G361" s="4"/>
      <c r="H361" s="7"/>
      <c r="I361" s="7"/>
      <c r="J361" s="7"/>
    </row>
    <row r="362" spans="1:12">
      <c r="A362" t="s">
        <v>426</v>
      </c>
      <c r="B362" s="1"/>
      <c r="C362" s="4"/>
      <c r="D362" s="4"/>
      <c r="E362" s="4"/>
      <c r="F362" s="4"/>
      <c r="G362" s="4"/>
      <c r="H362" s="7"/>
      <c r="I362" s="7"/>
    </row>
    <row r="363" spans="1:12">
      <c r="B363" s="4" t="s">
        <v>402</v>
      </c>
      <c r="C363" s="4" t="s">
        <v>403</v>
      </c>
      <c r="D363" t="s">
        <v>376</v>
      </c>
      <c r="E363" s="4" t="s">
        <v>404</v>
      </c>
      <c r="F363" s="4" t="s">
        <v>405</v>
      </c>
      <c r="G363" s="4" t="s">
        <v>406</v>
      </c>
      <c r="H363" s="4" t="s">
        <v>407</v>
      </c>
      <c r="I363" t="s">
        <v>378</v>
      </c>
      <c r="J363" s="4" t="s">
        <v>408</v>
      </c>
      <c r="K363" s="43" t="s">
        <v>409</v>
      </c>
      <c r="L363" s="4"/>
    </row>
    <row r="364" spans="1:12">
      <c r="B364" s="1" t="s">
        <v>249</v>
      </c>
      <c r="C364" s="4" t="s">
        <v>427</v>
      </c>
      <c r="D364" s="1" t="s">
        <v>426</v>
      </c>
      <c r="E364" s="4" t="s">
        <v>428</v>
      </c>
      <c r="F364" s="4" t="s">
        <v>429</v>
      </c>
      <c r="G364" s="4" t="s">
        <v>385</v>
      </c>
      <c r="H364" s="7" t="s">
        <v>292</v>
      </c>
      <c r="I364" s="7" t="str">
        <f>$E$364&amp;"-"&amp;本番標準内部[[#This Row],[サブネット]]</f>
        <v>vpc-standard-prd-internal-subnet-protect-1a</v>
      </c>
      <c r="J364" s="7" t="s">
        <v>430</v>
      </c>
      <c r="K364" s="7" t="s">
        <v>431</v>
      </c>
      <c r="L364" s="7"/>
    </row>
    <row r="365" spans="1:12">
      <c r="B365" s="1"/>
      <c r="C365" s="4"/>
      <c r="D365" s="4"/>
      <c r="E365" s="4"/>
      <c r="F365" s="4"/>
      <c r="G365" s="4" t="s">
        <v>389</v>
      </c>
      <c r="H365" s="7" t="s">
        <v>416</v>
      </c>
      <c r="I365" s="7" t="str">
        <f>$E$364&amp;"-"&amp;本番標準内部[[#This Row],[サブネット]]</f>
        <v>vpc-standard-prd-internal-subnet-protect-1c</v>
      </c>
      <c r="J365" s="7" t="s">
        <v>432</v>
      </c>
      <c r="K365" s="7" t="s">
        <v>433</v>
      </c>
      <c r="L365" s="7"/>
    </row>
    <row r="366" spans="1:12">
      <c r="B366" s="1"/>
      <c r="C366" s="4"/>
      <c r="D366" s="4"/>
      <c r="E366" s="4"/>
      <c r="F366" s="4"/>
      <c r="G366" s="4" t="s">
        <v>434</v>
      </c>
      <c r="H366" s="7" t="s">
        <v>423</v>
      </c>
      <c r="I366" s="7" t="str">
        <f>$E$364&amp;"-"&amp;本番標準内部[[#This Row],[サブネット]]</f>
        <v>vpc-standard-prd-internal-subnet-protect-1d</v>
      </c>
      <c r="J366" s="7" t="s">
        <v>435</v>
      </c>
      <c r="K366" s="7" t="s">
        <v>436</v>
      </c>
      <c r="L366" s="7"/>
    </row>
    <row r="367" spans="1:12">
      <c r="B367" s="1"/>
      <c r="C367" s="4"/>
      <c r="D367" s="4"/>
      <c r="E367" s="4"/>
      <c r="F367" s="4"/>
      <c r="G367" s="4" t="s">
        <v>392</v>
      </c>
      <c r="H367" s="7" t="s">
        <v>292</v>
      </c>
      <c r="I367" s="7" t="str">
        <f>$E$364&amp;"-"&amp;本番標準内部[[#This Row],[サブネット]]</f>
        <v>vpc-standard-prd-internal-subnet-private-1a</v>
      </c>
      <c r="J367" s="7" t="s">
        <v>437</v>
      </c>
      <c r="K367" s="7" t="s">
        <v>438</v>
      </c>
      <c r="L367" s="7"/>
    </row>
    <row r="368" spans="1:12">
      <c r="B368" s="1"/>
      <c r="C368" s="4"/>
      <c r="D368" s="4"/>
      <c r="E368" s="4"/>
      <c r="F368" s="4"/>
      <c r="G368" s="4" t="s">
        <v>395</v>
      </c>
      <c r="H368" s="7" t="s">
        <v>416</v>
      </c>
      <c r="I368" s="7" t="str">
        <f>$E$364&amp;"-"&amp;本番標準内部[[#This Row],[サブネット]]</f>
        <v>vpc-standard-prd-internal-subnet-private-1c</v>
      </c>
      <c r="J368" s="7" t="s">
        <v>439</v>
      </c>
      <c r="K368" s="7" t="s">
        <v>440</v>
      </c>
      <c r="L368" s="7"/>
    </row>
    <row r="369" spans="1:12">
      <c r="B369" s="1"/>
      <c r="C369" s="4"/>
      <c r="D369" s="4"/>
      <c r="E369" s="4"/>
      <c r="F369" s="4"/>
      <c r="G369" s="4" t="s">
        <v>398</v>
      </c>
      <c r="H369" s="7" t="s">
        <v>423</v>
      </c>
      <c r="I369" s="7" t="str">
        <f>$E$364&amp;"-"&amp;本番標準内部[[#This Row],[サブネット]]</f>
        <v>vpc-standard-prd-internal-subnet-private-1d</v>
      </c>
      <c r="J369" s="7" t="s">
        <v>441</v>
      </c>
      <c r="K369" s="7" t="s">
        <v>442</v>
      </c>
      <c r="L369" s="7"/>
    </row>
    <row r="370" spans="1:12">
      <c r="B370" s="1"/>
      <c r="C370" s="4"/>
      <c r="D370" s="4"/>
      <c r="E370" s="4"/>
      <c r="F370" s="4"/>
      <c r="G370" s="4"/>
      <c r="H370" s="7"/>
      <c r="I370" s="7"/>
      <c r="J370" s="7"/>
    </row>
    <row r="371" spans="1:12">
      <c r="A371" t="s">
        <v>443</v>
      </c>
      <c r="B371" s="1"/>
      <c r="C371" s="4"/>
      <c r="D371" s="4"/>
      <c r="E371" s="4"/>
      <c r="F371" s="4"/>
      <c r="H371" s="7"/>
      <c r="I371" s="7"/>
    </row>
    <row r="372" spans="1:12">
      <c r="B372" s="4" t="s">
        <v>402</v>
      </c>
      <c r="C372" s="4" t="s">
        <v>403</v>
      </c>
      <c r="D372" t="s">
        <v>376</v>
      </c>
      <c r="E372" s="4" t="s">
        <v>404</v>
      </c>
      <c r="F372" s="4" t="s">
        <v>405</v>
      </c>
      <c r="G372" s="4" t="s">
        <v>406</v>
      </c>
      <c r="H372" s="4" t="s">
        <v>407</v>
      </c>
      <c r="I372" t="s">
        <v>378</v>
      </c>
      <c r="J372" s="4" t="s">
        <v>408</v>
      </c>
      <c r="K372" s="43" t="s">
        <v>409</v>
      </c>
      <c r="L372" s="4"/>
    </row>
    <row r="373" spans="1:12">
      <c r="B373" s="1" t="s">
        <v>444</v>
      </c>
      <c r="C373" s="4" t="s">
        <v>445</v>
      </c>
      <c r="D373" s="1" t="s">
        <v>443</v>
      </c>
      <c r="E373" s="4" t="s">
        <v>446</v>
      </c>
      <c r="F373" s="4" t="s">
        <v>447</v>
      </c>
      <c r="G373" s="4" t="s">
        <v>448</v>
      </c>
      <c r="H373" s="7" t="s">
        <v>292</v>
      </c>
      <c r="I373" s="7" t="str">
        <f>$E$373&amp;"-"&amp;本番標準外部[[#This Row],[サブネット]]</f>
        <v>vpc-standard-prd-external-subnet-public-1a</v>
      </c>
      <c r="J373" s="7" t="s">
        <v>449</v>
      </c>
      <c r="K373" s="7" t="s">
        <v>450</v>
      </c>
      <c r="L373" s="7"/>
    </row>
    <row r="374" spans="1:12">
      <c r="B374" s="1"/>
      <c r="C374" s="4"/>
      <c r="D374" s="4"/>
      <c r="E374" s="4"/>
      <c r="F374" s="4"/>
      <c r="G374" s="4" t="s">
        <v>451</v>
      </c>
      <c r="H374" s="7" t="s">
        <v>416</v>
      </c>
      <c r="I374" s="7" t="str">
        <f>$E$373&amp;"-"&amp;本番標準外部[[#This Row],[サブネット]]</f>
        <v>vpc-standard-prd-external-subnet-public-1c</v>
      </c>
      <c r="J374" s="7" t="s">
        <v>452</v>
      </c>
      <c r="K374" s="7" t="s">
        <v>453</v>
      </c>
      <c r="L374" s="7"/>
    </row>
    <row r="375" spans="1:12">
      <c r="B375" s="1"/>
      <c r="C375" s="4"/>
      <c r="D375" s="4"/>
      <c r="E375" s="4"/>
      <c r="F375" s="4"/>
      <c r="G375" s="4" t="s">
        <v>454</v>
      </c>
      <c r="H375" s="7" t="s">
        <v>423</v>
      </c>
      <c r="I375" s="7" t="str">
        <f>$E$373&amp;"-"&amp;本番標準外部[[#This Row],[サブネット]]</f>
        <v>vpc-standard-prd-external-subnet-public-1d</v>
      </c>
      <c r="J375" s="7" t="s">
        <v>455</v>
      </c>
      <c r="K375" s="7" t="s">
        <v>456</v>
      </c>
      <c r="L375" s="7"/>
    </row>
    <row r="376" spans="1:12">
      <c r="B376" s="1"/>
      <c r="C376" s="4"/>
      <c r="D376" s="4"/>
      <c r="E376" s="4"/>
      <c r="F376" s="4"/>
      <c r="G376" s="4" t="s">
        <v>385</v>
      </c>
      <c r="H376" s="7" t="s">
        <v>292</v>
      </c>
      <c r="I376" s="7" t="str">
        <f>$E$373&amp;"-"&amp;本番標準外部[[#This Row],[サブネット]]</f>
        <v>vpc-standard-prd-external-subnet-protect-1a</v>
      </c>
      <c r="J376" s="7" t="s">
        <v>457</v>
      </c>
      <c r="K376" s="7" t="s">
        <v>458</v>
      </c>
      <c r="L376" s="7"/>
    </row>
    <row r="377" spans="1:12">
      <c r="B377" s="1"/>
      <c r="C377" s="4"/>
      <c r="D377" s="4"/>
      <c r="E377" s="4"/>
      <c r="F377" s="4"/>
      <c r="G377" s="4" t="s">
        <v>389</v>
      </c>
      <c r="H377" s="7" t="s">
        <v>416</v>
      </c>
      <c r="I377" s="7" t="str">
        <f>$E$373&amp;"-"&amp;本番標準外部[[#This Row],[サブネット]]</f>
        <v>vpc-standard-prd-external-subnet-protect-1c</v>
      </c>
      <c r="J377" s="7" t="s">
        <v>459</v>
      </c>
      <c r="K377" s="7" t="s">
        <v>460</v>
      </c>
      <c r="L377" s="7"/>
    </row>
    <row r="378" spans="1:12">
      <c r="B378" s="1"/>
      <c r="C378" s="4"/>
      <c r="D378" s="4"/>
      <c r="E378" s="4"/>
      <c r="F378" s="4"/>
      <c r="G378" s="4" t="s">
        <v>434</v>
      </c>
      <c r="H378" s="7" t="s">
        <v>423</v>
      </c>
      <c r="I378" s="7" t="str">
        <f>$E$373&amp;"-"&amp;本番標準外部[[#This Row],[サブネット]]</f>
        <v>vpc-standard-prd-external-subnet-protect-1d</v>
      </c>
      <c r="J378" s="7" t="s">
        <v>461</v>
      </c>
      <c r="K378" s="7" t="s">
        <v>462</v>
      </c>
      <c r="L378" s="7"/>
    </row>
    <row r="379" spans="1:12">
      <c r="B379" s="1"/>
      <c r="C379" s="4"/>
      <c r="D379" s="4"/>
      <c r="E379" s="4"/>
      <c r="F379" s="4"/>
      <c r="G379" s="4" t="s">
        <v>392</v>
      </c>
      <c r="H379" s="7" t="s">
        <v>292</v>
      </c>
      <c r="I379" s="7" t="str">
        <f>$E$373&amp;"-"&amp;本番標準外部[[#This Row],[サブネット]]</f>
        <v>vpc-standard-prd-external-subnet-private-1a</v>
      </c>
      <c r="J379" s="7" t="s">
        <v>463</v>
      </c>
      <c r="K379" s="7" t="s">
        <v>464</v>
      </c>
      <c r="L379" s="7"/>
    </row>
    <row r="380" spans="1:12">
      <c r="B380" s="1"/>
      <c r="C380" s="4"/>
      <c r="D380" s="4"/>
      <c r="E380" s="4"/>
      <c r="F380" s="4"/>
      <c r="G380" s="4" t="s">
        <v>395</v>
      </c>
      <c r="H380" s="7" t="s">
        <v>416</v>
      </c>
      <c r="I380" s="7" t="str">
        <f>$E$373&amp;"-"&amp;本番標準外部[[#This Row],[サブネット]]</f>
        <v>vpc-standard-prd-external-subnet-private-1c</v>
      </c>
      <c r="J380" s="7" t="s">
        <v>465</v>
      </c>
      <c r="K380" s="7" t="s">
        <v>466</v>
      </c>
      <c r="L380" s="7"/>
    </row>
    <row r="381" spans="1:12">
      <c r="D381" s="4"/>
      <c r="E381" s="4"/>
      <c r="F381" s="4"/>
      <c r="G381" s="4" t="s">
        <v>398</v>
      </c>
      <c r="H381" s="7" t="s">
        <v>423</v>
      </c>
      <c r="I381" s="7" t="str">
        <f>$E$373&amp;"-"&amp;本番標準外部[[#This Row],[サブネット]]</f>
        <v>vpc-standard-prd-external-subnet-private-1d</v>
      </c>
      <c r="J381" s="7" t="s">
        <v>467</v>
      </c>
      <c r="K381" s="7" t="s">
        <v>468</v>
      </c>
      <c r="L381" s="7"/>
    </row>
    <row r="382" spans="1:12">
      <c r="D382" s="4"/>
      <c r="E382" s="4"/>
      <c r="F382" s="4"/>
      <c r="G382" s="4"/>
      <c r="H382" s="7"/>
      <c r="I382" s="7"/>
      <c r="J382" s="7"/>
    </row>
    <row r="383" spans="1:12">
      <c r="A383" t="s">
        <v>469</v>
      </c>
      <c r="F383" s="4"/>
      <c r="H383" s="7"/>
      <c r="I383" s="7"/>
    </row>
    <row r="384" spans="1:12">
      <c r="B384" s="4" t="s">
        <v>402</v>
      </c>
      <c r="C384" s="4" t="s">
        <v>403</v>
      </c>
      <c r="D384" t="s">
        <v>376</v>
      </c>
      <c r="E384" s="4" t="s">
        <v>404</v>
      </c>
      <c r="F384" s="4" t="s">
        <v>405</v>
      </c>
      <c r="G384" s="4" t="s">
        <v>406</v>
      </c>
      <c r="H384" s="4" t="s">
        <v>407</v>
      </c>
      <c r="I384" t="s">
        <v>378</v>
      </c>
      <c r="J384" s="4" t="s">
        <v>408</v>
      </c>
      <c r="K384" s="43" t="s">
        <v>409</v>
      </c>
      <c r="L384" s="4"/>
    </row>
    <row r="385" spans="1:12">
      <c r="B385" s="1" t="s">
        <v>263</v>
      </c>
      <c r="C385" s="4" t="s">
        <v>470</v>
      </c>
      <c r="D385" s="1" t="s">
        <v>469</v>
      </c>
      <c r="E385" t="s">
        <v>471</v>
      </c>
      <c r="F385" s="4" t="s">
        <v>472</v>
      </c>
      <c r="G385" s="4" t="s">
        <v>385</v>
      </c>
      <c r="H385" s="7" t="s">
        <v>292</v>
      </c>
      <c r="I385" s="7" t="str">
        <f>$E$385&amp;"-"&amp;開発標準内部[[#This Row],[サブネット]]</f>
        <v>vpc-standard-dev-internal-subnet-protect-1a</v>
      </c>
      <c r="J385" s="7" t="s">
        <v>473</v>
      </c>
      <c r="K385" s="7" t="s">
        <v>474</v>
      </c>
      <c r="L385" s="7"/>
    </row>
    <row r="386" spans="1:12">
      <c r="F386" s="4"/>
      <c r="G386" s="4" t="s">
        <v>389</v>
      </c>
      <c r="H386" s="7" t="s">
        <v>416</v>
      </c>
      <c r="I386" s="7" t="str">
        <f>$E$385&amp;"-"&amp;開発標準内部[[#This Row],[サブネット]]</f>
        <v>vpc-standard-dev-internal-subnet-protect-1c</v>
      </c>
      <c r="J386" s="7" t="s">
        <v>475</v>
      </c>
      <c r="K386" s="7" t="s">
        <v>476</v>
      </c>
      <c r="L386" s="7"/>
    </row>
    <row r="387" spans="1:12">
      <c r="F387" s="4"/>
      <c r="G387" s="4" t="s">
        <v>434</v>
      </c>
      <c r="H387" s="7" t="s">
        <v>423</v>
      </c>
      <c r="I387" s="7" t="str">
        <f>$E$385&amp;"-"&amp;開発標準内部[[#This Row],[サブネット]]</f>
        <v>vpc-standard-dev-internal-subnet-protect-1d</v>
      </c>
      <c r="J387" s="7" t="s">
        <v>477</v>
      </c>
      <c r="K387" s="7" t="s">
        <v>478</v>
      </c>
      <c r="L387" s="7"/>
    </row>
    <row r="388" spans="1:12">
      <c r="F388" s="4"/>
      <c r="G388" s="4" t="s">
        <v>392</v>
      </c>
      <c r="H388" s="7" t="s">
        <v>292</v>
      </c>
      <c r="I388" s="7" t="str">
        <f>$E$385&amp;"-"&amp;開発標準内部[[#This Row],[サブネット]]</f>
        <v>vpc-standard-dev-internal-subnet-private-1a</v>
      </c>
      <c r="J388" s="7" t="s">
        <v>479</v>
      </c>
      <c r="K388" s="7" t="s">
        <v>480</v>
      </c>
      <c r="L388" s="7"/>
    </row>
    <row r="389" spans="1:12">
      <c r="F389" s="4"/>
      <c r="G389" s="4" t="s">
        <v>395</v>
      </c>
      <c r="H389" s="7" t="s">
        <v>416</v>
      </c>
      <c r="I389" s="7" t="str">
        <f>$E$385&amp;"-"&amp;開発標準内部[[#This Row],[サブネット]]</f>
        <v>vpc-standard-dev-internal-subnet-private-1c</v>
      </c>
      <c r="J389" s="7" t="s">
        <v>481</v>
      </c>
      <c r="K389" s="7" t="s">
        <v>482</v>
      </c>
      <c r="L389" s="7"/>
    </row>
    <row r="390" spans="1:12">
      <c r="F390" s="4"/>
      <c r="G390" s="4" t="s">
        <v>398</v>
      </c>
      <c r="H390" s="7" t="s">
        <v>423</v>
      </c>
      <c r="I390" s="7" t="str">
        <f>$E$385&amp;"-"&amp;開発標準内部[[#This Row],[サブネット]]</f>
        <v>vpc-standard-dev-internal-subnet-private-1d</v>
      </c>
      <c r="J390" s="7" t="s">
        <v>483</v>
      </c>
      <c r="K390" s="7" t="s">
        <v>484</v>
      </c>
      <c r="L390" s="7"/>
    </row>
    <row r="391" spans="1:12">
      <c r="F391" s="4"/>
      <c r="G391" s="4"/>
      <c r="H391" s="7"/>
      <c r="I391" s="7"/>
      <c r="J391" s="7"/>
    </row>
    <row r="392" spans="1:12">
      <c r="A392" t="s">
        <v>485</v>
      </c>
      <c r="F392" s="4"/>
      <c r="H392" s="7"/>
      <c r="I392" s="7"/>
    </row>
    <row r="393" spans="1:12">
      <c r="B393" s="4" t="s">
        <v>402</v>
      </c>
      <c r="C393" s="4" t="s">
        <v>403</v>
      </c>
      <c r="D393" t="s">
        <v>376</v>
      </c>
      <c r="E393" s="4" t="s">
        <v>404</v>
      </c>
      <c r="F393" s="4" t="s">
        <v>405</v>
      </c>
      <c r="G393" s="4" t="s">
        <v>406</v>
      </c>
      <c r="H393" s="4" t="s">
        <v>407</v>
      </c>
      <c r="I393" t="s">
        <v>378</v>
      </c>
      <c r="J393" s="4" t="s">
        <v>408</v>
      </c>
      <c r="K393" s="43" t="s">
        <v>409</v>
      </c>
      <c r="L393" s="4"/>
    </row>
    <row r="394" spans="1:12">
      <c r="B394" s="1" t="s">
        <v>486</v>
      </c>
      <c r="C394" s="4" t="s">
        <v>487</v>
      </c>
      <c r="D394" s="1" t="s">
        <v>485</v>
      </c>
      <c r="E394" t="s">
        <v>488</v>
      </c>
      <c r="F394" s="4" t="s">
        <v>489</v>
      </c>
      <c r="G394" s="4" t="s">
        <v>448</v>
      </c>
      <c r="H394" s="7" t="s">
        <v>292</v>
      </c>
      <c r="I394" s="7" t="str">
        <f>$E$394&amp;"-"&amp;開発標準外部[[#This Row],[サブネット]]</f>
        <v>vpc-standard-dev-external-subnet-public-1a</v>
      </c>
      <c r="J394" s="7" t="s">
        <v>490</v>
      </c>
      <c r="K394" s="7" t="s">
        <v>491</v>
      </c>
      <c r="L394" s="7"/>
    </row>
    <row r="395" spans="1:12">
      <c r="F395" s="4"/>
      <c r="G395" s="4" t="s">
        <v>451</v>
      </c>
      <c r="H395" s="7" t="s">
        <v>416</v>
      </c>
      <c r="I395" s="7" t="str">
        <f>$E$394&amp;"-"&amp;開発標準外部[[#This Row],[サブネット]]</f>
        <v>vpc-standard-dev-external-subnet-public-1c</v>
      </c>
      <c r="J395" s="7" t="s">
        <v>492</v>
      </c>
      <c r="K395" s="7" t="s">
        <v>493</v>
      </c>
      <c r="L395" s="7"/>
    </row>
    <row r="396" spans="1:12">
      <c r="F396" s="4"/>
      <c r="G396" s="4" t="s">
        <v>385</v>
      </c>
      <c r="H396" s="7" t="s">
        <v>292</v>
      </c>
      <c r="I396" s="7" t="str">
        <f>$E$394&amp;"-"&amp;開発標準外部[[#This Row],[サブネット]]</f>
        <v>vpc-standard-dev-external-subnet-protect-1a</v>
      </c>
      <c r="J396" s="7" t="s">
        <v>494</v>
      </c>
      <c r="K396" s="7" t="s">
        <v>495</v>
      </c>
      <c r="L396" s="7"/>
    </row>
    <row r="397" spans="1:12">
      <c r="F397" s="4"/>
      <c r="G397" s="4" t="s">
        <v>389</v>
      </c>
      <c r="H397" s="7" t="s">
        <v>416</v>
      </c>
      <c r="I397" s="7" t="str">
        <f>$E$394&amp;"-"&amp;開発標準外部[[#This Row],[サブネット]]</f>
        <v>vpc-standard-dev-external-subnet-protect-1c</v>
      </c>
      <c r="J397" s="7" t="s">
        <v>496</v>
      </c>
      <c r="K397" s="7" t="s">
        <v>497</v>
      </c>
      <c r="L397" s="7"/>
    </row>
    <row r="398" spans="1:12">
      <c r="F398" s="4"/>
      <c r="G398" s="4" t="s">
        <v>392</v>
      </c>
      <c r="H398" s="7" t="s">
        <v>292</v>
      </c>
      <c r="I398" s="7" t="str">
        <f>$E$394&amp;"-"&amp;開発標準外部[[#This Row],[サブネット]]</f>
        <v>vpc-standard-dev-external-subnet-private-1a</v>
      </c>
      <c r="J398" s="7" t="s">
        <v>498</v>
      </c>
      <c r="K398" s="7" t="s">
        <v>499</v>
      </c>
      <c r="L398" s="7"/>
    </row>
    <row r="399" spans="1:12">
      <c r="F399" s="4"/>
      <c r="G399" s="4" t="s">
        <v>395</v>
      </c>
      <c r="H399" s="7" t="s">
        <v>416</v>
      </c>
      <c r="I399" s="7" t="str">
        <f>$E$394&amp;"-"&amp;開発標準外部[[#This Row],[サブネット]]</f>
        <v>vpc-standard-dev-external-subnet-private-1c</v>
      </c>
      <c r="J399" s="7" t="s">
        <v>500</v>
      </c>
      <c r="K399" s="7" t="s">
        <v>501</v>
      </c>
      <c r="L399" s="7"/>
    </row>
    <row r="400" spans="1:12">
      <c r="F400" s="4"/>
      <c r="G400" s="4" t="s">
        <v>398</v>
      </c>
      <c r="H400" s="7" t="s">
        <v>423</v>
      </c>
      <c r="I400" s="7" t="str">
        <f>$E$394&amp;"-"&amp;開発標準外部[[#This Row],[サブネット]]</f>
        <v>vpc-standard-dev-external-subnet-private-1d</v>
      </c>
      <c r="J400" s="7" t="s">
        <v>502</v>
      </c>
      <c r="K400" s="7" t="s">
        <v>503</v>
      </c>
      <c r="L400" s="7"/>
    </row>
    <row r="401" spans="1:12">
      <c r="F401" s="4"/>
      <c r="G401" s="4"/>
      <c r="H401" s="7"/>
      <c r="I401" s="7"/>
      <c r="J401" s="7"/>
    </row>
    <row r="402" spans="1:12">
      <c r="A402" t="s">
        <v>504</v>
      </c>
      <c r="F402" s="4"/>
      <c r="H402" s="7"/>
      <c r="I402" s="7"/>
    </row>
    <row r="403" spans="1:12">
      <c r="B403" s="4" t="s">
        <v>402</v>
      </c>
      <c r="C403" s="4" t="s">
        <v>403</v>
      </c>
      <c r="D403" t="s">
        <v>376</v>
      </c>
      <c r="E403" s="4" t="s">
        <v>404</v>
      </c>
      <c r="F403" s="4" t="s">
        <v>405</v>
      </c>
      <c r="G403" s="4" t="s">
        <v>406</v>
      </c>
      <c r="H403" s="4" t="s">
        <v>407</v>
      </c>
      <c r="I403" t="s">
        <v>378</v>
      </c>
      <c r="J403" s="4" t="s">
        <v>408</v>
      </c>
      <c r="K403" s="43" t="s">
        <v>409</v>
      </c>
      <c r="L403" s="4"/>
    </row>
    <row r="404" spans="1:12">
      <c r="B404" s="1" t="s">
        <v>505</v>
      </c>
      <c r="C404" s="4" t="s">
        <v>506</v>
      </c>
      <c r="D404" s="1" t="s">
        <v>507</v>
      </c>
      <c r="E404" t="s">
        <v>508</v>
      </c>
      <c r="F404" s="4" t="s">
        <v>509</v>
      </c>
      <c r="G404" s="4" t="s">
        <v>385</v>
      </c>
      <c r="H404" s="7" t="s">
        <v>292</v>
      </c>
      <c r="I404" s="7" t="str">
        <f>$E$404&amp;"-"&amp;本番SAP内部[[#This Row],[サブネット]]</f>
        <v>vpc-advanced-s4hana-prd-internal-subnet-protect-1a</v>
      </c>
      <c r="J404" s="7" t="s">
        <v>510</v>
      </c>
      <c r="K404" s="7" t="s">
        <v>511</v>
      </c>
      <c r="L404" s="7"/>
    </row>
    <row r="405" spans="1:12">
      <c r="F405" s="4"/>
      <c r="G405" s="4" t="s">
        <v>389</v>
      </c>
      <c r="H405" s="7" t="s">
        <v>416</v>
      </c>
      <c r="I405" s="7" t="str">
        <f>$E$404&amp;"-"&amp;本番SAP内部[[#This Row],[サブネット]]</f>
        <v>vpc-advanced-s4hana-prd-internal-subnet-protect-1c</v>
      </c>
      <c r="J405" s="7" t="s">
        <v>512</v>
      </c>
      <c r="K405" s="7" t="s">
        <v>513</v>
      </c>
      <c r="L405" s="7"/>
    </row>
    <row r="406" spans="1:12">
      <c r="F406" s="4"/>
      <c r="G406" s="4" t="s">
        <v>392</v>
      </c>
      <c r="H406" s="7" t="s">
        <v>292</v>
      </c>
      <c r="I406" s="7" t="str">
        <f>$E$404&amp;"-"&amp;本番SAP内部[[#This Row],[サブネット]]</f>
        <v>vpc-advanced-s4hana-prd-internal-subnet-private-1a</v>
      </c>
      <c r="J406" s="7" t="s">
        <v>514</v>
      </c>
      <c r="K406" s="7" t="s">
        <v>515</v>
      </c>
      <c r="L406" s="7"/>
    </row>
    <row r="407" spans="1:12">
      <c r="F407" s="4"/>
      <c r="G407" s="4" t="s">
        <v>395</v>
      </c>
      <c r="H407" s="7" t="s">
        <v>416</v>
      </c>
      <c r="I407" s="7" t="str">
        <f>$E$404&amp;"-"&amp;本番SAP内部[[#This Row],[サブネット]]</f>
        <v>vpc-advanced-s4hana-prd-internal-subnet-private-1c</v>
      </c>
      <c r="J407" s="7" t="s">
        <v>516</v>
      </c>
      <c r="K407" s="7" t="s">
        <v>517</v>
      </c>
      <c r="L407" s="7"/>
    </row>
    <row r="408" spans="1:12">
      <c r="F408" s="4"/>
      <c r="G408" s="4" t="s">
        <v>398</v>
      </c>
      <c r="H408" s="7" t="s">
        <v>423</v>
      </c>
      <c r="I408" s="7" t="str">
        <f>$E$404&amp;"-"&amp;本番SAP内部[[#This Row],[サブネット]]</f>
        <v>vpc-advanced-s4hana-prd-internal-subnet-private-1d</v>
      </c>
      <c r="J408" s="7" t="s">
        <v>518</v>
      </c>
      <c r="K408" s="7" t="s">
        <v>519</v>
      </c>
      <c r="L408" s="7"/>
    </row>
    <row r="409" spans="1:12">
      <c r="F409" s="4"/>
      <c r="G409" s="4"/>
      <c r="H409" s="7"/>
      <c r="I409" s="7"/>
      <c r="J409" s="7"/>
    </row>
    <row r="410" spans="1:12">
      <c r="A410" t="s">
        <v>520</v>
      </c>
      <c r="F410" s="4"/>
      <c r="H410" s="7"/>
      <c r="I410" s="7"/>
    </row>
    <row r="411" spans="1:12">
      <c r="B411" s="4" t="s">
        <v>402</v>
      </c>
      <c r="C411" s="4" t="s">
        <v>403</v>
      </c>
      <c r="D411" t="s">
        <v>376</v>
      </c>
      <c r="E411" s="4" t="s">
        <v>404</v>
      </c>
      <c r="F411" s="4" t="s">
        <v>405</v>
      </c>
      <c r="G411" s="4" t="s">
        <v>406</v>
      </c>
      <c r="H411" s="4" t="s">
        <v>407</v>
      </c>
      <c r="I411" t="s">
        <v>378</v>
      </c>
      <c r="J411" s="4" t="s">
        <v>408</v>
      </c>
      <c r="K411" s="43" t="s">
        <v>409</v>
      </c>
      <c r="L411" s="4"/>
    </row>
    <row r="412" spans="1:12">
      <c r="B412" s="1" t="s">
        <v>521</v>
      </c>
      <c r="C412" s="4" t="s">
        <v>522</v>
      </c>
      <c r="D412" s="1" t="s">
        <v>523</v>
      </c>
      <c r="E412" t="s">
        <v>524</v>
      </c>
      <c r="F412" s="4" t="s">
        <v>525</v>
      </c>
      <c r="G412" s="4" t="s">
        <v>385</v>
      </c>
      <c r="H412" s="7" t="s">
        <v>292</v>
      </c>
      <c r="I412" s="7" t="str">
        <f>$E$412&amp;"-"&amp;開発SAP内部[[#This Row],[サブネット]]</f>
        <v>vpc-advanced-s4hana-dev-internal-subnet-protect-1a</v>
      </c>
      <c r="J412" s="7" t="s">
        <v>526</v>
      </c>
      <c r="K412" s="7" t="s">
        <v>527</v>
      </c>
      <c r="L412" s="7"/>
    </row>
    <row r="413" spans="1:12">
      <c r="F413" s="4"/>
      <c r="G413" s="4" t="s">
        <v>389</v>
      </c>
      <c r="H413" s="7" t="s">
        <v>416</v>
      </c>
      <c r="I413" s="7" t="str">
        <f>$E$412&amp;"-"&amp;開発SAP内部[[#This Row],[サブネット]]</f>
        <v>vpc-advanced-s4hana-dev-internal-subnet-protect-1c</v>
      </c>
      <c r="J413" s="7" t="s">
        <v>528</v>
      </c>
      <c r="K413" s="7" t="s">
        <v>529</v>
      </c>
      <c r="L413" s="7"/>
    </row>
    <row r="414" spans="1:12">
      <c r="F414" s="4"/>
      <c r="G414" s="4" t="s">
        <v>392</v>
      </c>
      <c r="H414" s="7" t="s">
        <v>292</v>
      </c>
      <c r="I414" s="7" t="str">
        <f>$E$412&amp;"-"&amp;開発SAP内部[[#This Row],[サブネット]]</f>
        <v>vpc-advanced-s4hana-dev-internal-subnet-private-1a</v>
      </c>
      <c r="J414" s="7" t="s">
        <v>530</v>
      </c>
      <c r="K414" s="7" t="s">
        <v>531</v>
      </c>
      <c r="L414" s="7"/>
    </row>
    <row r="415" spans="1:12">
      <c r="F415" s="4"/>
      <c r="G415" s="4" t="s">
        <v>395</v>
      </c>
      <c r="H415" s="7" t="s">
        <v>416</v>
      </c>
      <c r="I415" s="7" t="str">
        <f>$E$412&amp;"-"&amp;開発SAP内部[[#This Row],[サブネット]]</f>
        <v>vpc-advanced-s4hana-dev-internal-subnet-private-1c</v>
      </c>
      <c r="J415" s="7" t="s">
        <v>532</v>
      </c>
      <c r="K415" s="7" t="s">
        <v>533</v>
      </c>
      <c r="L415" s="7"/>
    </row>
    <row r="416" spans="1:12">
      <c r="F416" s="4"/>
      <c r="G416" s="4" t="s">
        <v>398</v>
      </c>
      <c r="H416" s="7" t="s">
        <v>423</v>
      </c>
      <c r="I416" s="7" t="str">
        <f>$E$412&amp;"-"&amp;開発SAP内部[[#This Row],[サブネット]]</f>
        <v>vpc-advanced-s4hana-dev-internal-subnet-private-1d</v>
      </c>
      <c r="J416" s="7" t="s">
        <v>534</v>
      </c>
      <c r="K416" s="7" t="s">
        <v>535</v>
      </c>
      <c r="L416" s="7"/>
    </row>
    <row r="417" spans="1:12">
      <c r="F417" s="4"/>
      <c r="G417" s="4"/>
      <c r="H417" s="7"/>
      <c r="I417" s="7"/>
      <c r="J417" s="7"/>
    </row>
    <row r="418" spans="1:12">
      <c r="A418" t="s">
        <v>536</v>
      </c>
      <c r="F418" s="4"/>
      <c r="H418" s="7"/>
      <c r="I418" s="7"/>
    </row>
    <row r="419" spans="1:12">
      <c r="B419" s="4" t="s">
        <v>402</v>
      </c>
      <c r="C419" s="4" t="s">
        <v>403</v>
      </c>
      <c r="D419" t="s">
        <v>376</v>
      </c>
      <c r="E419" s="4" t="s">
        <v>404</v>
      </c>
      <c r="F419" s="4" t="s">
        <v>405</v>
      </c>
      <c r="G419" s="4" t="s">
        <v>406</v>
      </c>
      <c r="H419" s="4" t="s">
        <v>407</v>
      </c>
      <c r="I419" t="s">
        <v>378</v>
      </c>
      <c r="J419" s="4" t="s">
        <v>408</v>
      </c>
      <c r="K419" s="43" t="s">
        <v>409</v>
      </c>
      <c r="L419" s="4"/>
    </row>
    <row r="420" spans="1:12">
      <c r="B420" s="1" t="s">
        <v>537</v>
      </c>
      <c r="C420" s="4" t="s">
        <v>538</v>
      </c>
      <c r="D420" s="1" t="s">
        <v>539</v>
      </c>
      <c r="E420" t="s">
        <v>540</v>
      </c>
      <c r="F420" s="4" t="s">
        <v>541</v>
      </c>
      <c r="G420" s="4" t="s">
        <v>448</v>
      </c>
      <c r="H420" s="7" t="s">
        <v>292</v>
      </c>
      <c r="I420" s="7" t="str">
        <f>$E$420&amp;"-"&amp;本番SAP外部[[#This Row],[サブネット]]</f>
        <v>vpc-advanced-s4hana-prd-external-subnet-public-1a</v>
      </c>
      <c r="J420" s="7" t="s">
        <v>542</v>
      </c>
      <c r="K420" s="7" t="s">
        <v>543</v>
      </c>
      <c r="L420" s="7"/>
    </row>
    <row r="421" spans="1:12">
      <c r="F421" s="4"/>
      <c r="G421" s="4" t="s">
        <v>451</v>
      </c>
      <c r="H421" s="7" t="s">
        <v>416</v>
      </c>
      <c r="I421" s="7" t="str">
        <f>$E$420&amp;"-"&amp;本番SAP外部[[#This Row],[サブネット]]</f>
        <v>vpc-advanced-s4hana-prd-external-subnet-public-1c</v>
      </c>
      <c r="J421" s="7" t="s">
        <v>544</v>
      </c>
      <c r="K421" s="7" t="s">
        <v>545</v>
      </c>
      <c r="L421" s="7"/>
    </row>
    <row r="422" spans="1:12">
      <c r="F422" s="4"/>
      <c r="G422" s="4" t="s">
        <v>385</v>
      </c>
      <c r="H422" s="7" t="s">
        <v>292</v>
      </c>
      <c r="I422" s="7" t="str">
        <f>$E$420&amp;"-"&amp;本番SAP外部[[#This Row],[サブネット]]</f>
        <v>vpc-advanced-s4hana-prd-external-subnet-protect-1a</v>
      </c>
      <c r="J422" s="7" t="s">
        <v>546</v>
      </c>
      <c r="K422" s="7" t="s">
        <v>547</v>
      </c>
      <c r="L422" s="7"/>
    </row>
    <row r="423" spans="1:12">
      <c r="F423" s="4"/>
      <c r="G423" s="4" t="s">
        <v>389</v>
      </c>
      <c r="H423" s="7" t="s">
        <v>416</v>
      </c>
      <c r="I423" s="7" t="str">
        <f>$E$420&amp;"-"&amp;本番SAP外部[[#This Row],[サブネット]]</f>
        <v>vpc-advanced-s4hana-prd-external-subnet-protect-1c</v>
      </c>
      <c r="J423" s="7" t="s">
        <v>548</v>
      </c>
      <c r="K423" s="7" t="s">
        <v>549</v>
      </c>
      <c r="L423" s="7"/>
    </row>
    <row r="424" spans="1:12">
      <c r="F424" s="4"/>
      <c r="G424" s="4" t="s">
        <v>392</v>
      </c>
      <c r="H424" s="7" t="s">
        <v>292</v>
      </c>
      <c r="I424" s="7" t="str">
        <f>$E$420&amp;"-"&amp;本番SAP外部[[#This Row],[サブネット]]</f>
        <v>vpc-advanced-s4hana-prd-external-subnet-private-1a</v>
      </c>
      <c r="J424" s="7" t="s">
        <v>550</v>
      </c>
      <c r="K424" s="7" t="s">
        <v>551</v>
      </c>
      <c r="L424" s="7"/>
    </row>
    <row r="425" spans="1:12">
      <c r="F425" s="4"/>
      <c r="G425" s="4" t="s">
        <v>395</v>
      </c>
      <c r="H425" s="7" t="s">
        <v>416</v>
      </c>
      <c r="I425" s="7" t="str">
        <f>$E$420&amp;"-"&amp;本番SAP外部[[#This Row],[サブネット]]</f>
        <v>vpc-advanced-s4hana-prd-external-subnet-private-1c</v>
      </c>
      <c r="J425" s="7" t="s">
        <v>552</v>
      </c>
      <c r="K425" s="7" t="s">
        <v>553</v>
      </c>
      <c r="L425" s="7"/>
    </row>
    <row r="426" spans="1:12">
      <c r="F426" s="4"/>
      <c r="G426" s="4" t="s">
        <v>398</v>
      </c>
      <c r="H426" s="7" t="s">
        <v>423</v>
      </c>
      <c r="I426" s="7" t="str">
        <f>$E$420&amp;"-"&amp;本番SAP外部[[#This Row],[サブネット]]</f>
        <v>vpc-advanced-s4hana-prd-external-subnet-private-1d</v>
      </c>
      <c r="J426" s="7" t="s">
        <v>554</v>
      </c>
      <c r="K426" s="7" t="s">
        <v>555</v>
      </c>
      <c r="L426" s="7"/>
    </row>
    <row r="427" spans="1:12">
      <c r="F427" s="4"/>
      <c r="G427" s="4"/>
      <c r="H427" s="7"/>
      <c r="I427" s="7"/>
      <c r="J427" s="7"/>
    </row>
    <row r="428" spans="1:12">
      <c r="A428" t="s">
        <v>556</v>
      </c>
    </row>
    <row r="429" spans="1:12">
      <c r="B429" s="4" t="s">
        <v>402</v>
      </c>
      <c r="C429" s="4" t="s">
        <v>403</v>
      </c>
      <c r="D429" t="s">
        <v>376</v>
      </c>
      <c r="E429" s="4" t="s">
        <v>404</v>
      </c>
      <c r="F429" s="4" t="s">
        <v>405</v>
      </c>
      <c r="G429" s="4" t="s">
        <v>406</v>
      </c>
      <c r="H429" s="4" t="s">
        <v>407</v>
      </c>
      <c r="I429" t="s">
        <v>378</v>
      </c>
      <c r="J429" s="4" t="s">
        <v>408</v>
      </c>
      <c r="K429" s="43" t="s">
        <v>409</v>
      </c>
      <c r="L429" s="4"/>
    </row>
    <row r="430" spans="1:12">
      <c r="B430" s="1" t="s">
        <v>557</v>
      </c>
      <c r="C430" s="4" t="s">
        <v>558</v>
      </c>
      <c r="D430" s="1" t="s">
        <v>559</v>
      </c>
      <c r="E430" t="s">
        <v>560</v>
      </c>
      <c r="F430" s="4" t="s">
        <v>561</v>
      </c>
      <c r="G430" s="4" t="s">
        <v>448</v>
      </c>
      <c r="H430" s="7" t="s">
        <v>292</v>
      </c>
      <c r="I430" s="7" t="str">
        <f>$E$430&amp;"-"&amp;開発SAP外部[[#This Row],[サブネット]]</f>
        <v>vpc-advanced-s4hana-dev-external-subnet-public-1a</v>
      </c>
      <c r="J430" s="7" t="s">
        <v>562</v>
      </c>
      <c r="K430" s="7" t="s">
        <v>563</v>
      </c>
      <c r="L430" s="7"/>
    </row>
    <row r="431" spans="1:12">
      <c r="F431" s="4"/>
      <c r="G431" s="4" t="s">
        <v>451</v>
      </c>
      <c r="H431" s="7" t="s">
        <v>416</v>
      </c>
      <c r="I431" s="7" t="str">
        <f>$E$430&amp;"-"&amp;開発SAP外部[[#This Row],[サブネット]]</f>
        <v>vpc-advanced-s4hana-dev-external-subnet-public-1c</v>
      </c>
      <c r="J431" s="7" t="s">
        <v>564</v>
      </c>
      <c r="K431" s="7" t="s">
        <v>565</v>
      </c>
      <c r="L431" s="7"/>
    </row>
    <row r="432" spans="1:12">
      <c r="F432" s="4"/>
      <c r="G432" s="4" t="s">
        <v>385</v>
      </c>
      <c r="H432" s="7" t="s">
        <v>292</v>
      </c>
      <c r="I432" s="7" t="str">
        <f>$E$430&amp;"-"&amp;開発SAP外部[[#This Row],[サブネット]]</f>
        <v>vpc-advanced-s4hana-dev-external-subnet-protect-1a</v>
      </c>
      <c r="J432" s="7" t="s">
        <v>566</v>
      </c>
      <c r="K432" s="7" t="s">
        <v>567</v>
      </c>
      <c r="L432" s="7"/>
    </row>
    <row r="433" spans="1:12">
      <c r="F433" s="4"/>
      <c r="G433" s="4" t="s">
        <v>389</v>
      </c>
      <c r="H433" s="7" t="s">
        <v>416</v>
      </c>
      <c r="I433" s="7" t="str">
        <f>$E$430&amp;"-"&amp;開発SAP外部[[#This Row],[サブネット]]</f>
        <v>vpc-advanced-s4hana-dev-external-subnet-protect-1c</v>
      </c>
      <c r="J433" s="7" t="s">
        <v>568</v>
      </c>
      <c r="K433" s="7" t="s">
        <v>569</v>
      </c>
      <c r="L433" s="7"/>
    </row>
    <row r="434" spans="1:12">
      <c r="F434" s="4"/>
      <c r="G434" s="4" t="s">
        <v>392</v>
      </c>
      <c r="H434" s="7" t="s">
        <v>292</v>
      </c>
      <c r="I434" s="7" t="str">
        <f>$E$430&amp;"-"&amp;開発SAP外部[[#This Row],[サブネット]]</f>
        <v>vpc-advanced-s4hana-dev-external-subnet-private-1a</v>
      </c>
      <c r="J434" s="7" t="s">
        <v>570</v>
      </c>
      <c r="K434" s="7" t="s">
        <v>571</v>
      </c>
      <c r="L434" s="7"/>
    </row>
    <row r="435" spans="1:12">
      <c r="F435" s="4"/>
      <c r="G435" s="4" t="s">
        <v>395</v>
      </c>
      <c r="H435" s="7" t="s">
        <v>416</v>
      </c>
      <c r="I435" s="7" t="str">
        <f>$E$430&amp;"-"&amp;開発SAP外部[[#This Row],[サブネット]]</f>
        <v>vpc-advanced-s4hana-dev-external-subnet-private-1c</v>
      </c>
      <c r="J435" s="7" t="s">
        <v>572</v>
      </c>
      <c r="K435" s="7" t="s">
        <v>573</v>
      </c>
      <c r="L435" s="7"/>
    </row>
    <row r="436" spans="1:12">
      <c r="F436" s="4"/>
      <c r="G436" s="4" t="s">
        <v>398</v>
      </c>
      <c r="H436" s="7" t="s">
        <v>423</v>
      </c>
      <c r="I436" s="7" t="str">
        <f>$E$430&amp;"-"&amp;開発SAP外部[[#This Row],[サブネット]]</f>
        <v>vpc-advanced-s4hana-dev-external-subnet-private-1d</v>
      </c>
      <c r="J436" s="7" t="s">
        <v>574</v>
      </c>
      <c r="K436" s="7" t="s">
        <v>575</v>
      </c>
      <c r="L436" s="7"/>
    </row>
    <row r="437" spans="1:12">
      <c r="F437" s="4"/>
      <c r="G437" s="4"/>
      <c r="H437" s="7"/>
      <c r="I437" s="7"/>
      <c r="J437" s="7"/>
    </row>
    <row r="438" spans="1:12">
      <c r="A438" t="s">
        <v>576</v>
      </c>
    </row>
    <row r="439" spans="1:12">
      <c r="B439" s="4" t="s">
        <v>402</v>
      </c>
      <c r="C439" s="4" t="s">
        <v>403</v>
      </c>
      <c r="D439" t="s">
        <v>376</v>
      </c>
      <c r="E439" s="4" t="s">
        <v>404</v>
      </c>
      <c r="F439" s="4" t="s">
        <v>405</v>
      </c>
      <c r="G439" s="4" t="s">
        <v>406</v>
      </c>
      <c r="H439" s="4" t="s">
        <v>407</v>
      </c>
      <c r="I439" t="s">
        <v>378</v>
      </c>
      <c r="J439" s="4" t="s">
        <v>408</v>
      </c>
      <c r="K439" s="43" t="s">
        <v>409</v>
      </c>
      <c r="L439" s="4"/>
    </row>
    <row r="440" spans="1:12">
      <c r="B440" t="s">
        <v>253</v>
      </c>
      <c r="C440" t="s">
        <v>577</v>
      </c>
      <c r="D440" s="1" t="s">
        <v>576</v>
      </c>
      <c r="E440" t="s">
        <v>578</v>
      </c>
      <c r="F440" s="4" t="s">
        <v>579</v>
      </c>
      <c r="G440" s="4" t="s">
        <v>385</v>
      </c>
      <c r="H440" s="7" t="s">
        <v>292</v>
      </c>
      <c r="I440" s="7" t="str">
        <f>$E$440&amp;"-"&amp;本番リシテア内部[[#This Row],[サブネット]]</f>
        <v>vpc-advanced-lysithea-prd-internal-subnet-protect-1a</v>
      </c>
      <c r="J440" s="7" t="s">
        <v>580</v>
      </c>
      <c r="K440" s="7" t="s">
        <v>581</v>
      </c>
      <c r="L440" s="7"/>
    </row>
    <row r="441" spans="1:12">
      <c r="F441" s="4"/>
      <c r="G441" s="4" t="s">
        <v>389</v>
      </c>
      <c r="H441" s="7" t="s">
        <v>416</v>
      </c>
      <c r="I441" s="7" t="str">
        <f>$E$440&amp;"-"&amp;本番リシテア内部[[#This Row],[サブネット]]</f>
        <v>vpc-advanced-lysithea-prd-internal-subnet-protect-1c</v>
      </c>
      <c r="J441" s="7" t="s">
        <v>582</v>
      </c>
      <c r="K441" s="7" t="s">
        <v>583</v>
      </c>
      <c r="L441" s="7"/>
    </row>
    <row r="442" spans="1:12">
      <c r="F442" s="4"/>
      <c r="G442" s="4" t="s">
        <v>434</v>
      </c>
      <c r="H442" s="7" t="s">
        <v>423</v>
      </c>
      <c r="I442" s="7" t="str">
        <f>$E$440&amp;"-"&amp;本番リシテア内部[[#This Row],[サブネット]]</f>
        <v>vpc-advanced-lysithea-prd-internal-subnet-protect-1d</v>
      </c>
      <c r="J442" s="7" t="s">
        <v>584</v>
      </c>
      <c r="K442" s="7" t="s">
        <v>585</v>
      </c>
      <c r="L442" s="7"/>
    </row>
    <row r="443" spans="1:12">
      <c r="F443" s="4"/>
      <c r="G443" s="4" t="s">
        <v>392</v>
      </c>
      <c r="H443" s="7" t="s">
        <v>292</v>
      </c>
      <c r="I443" s="7" t="str">
        <f>$E$440&amp;"-"&amp;本番リシテア内部[[#This Row],[サブネット]]</f>
        <v>vpc-advanced-lysithea-prd-internal-subnet-private-1a</v>
      </c>
      <c r="J443" s="7" t="s">
        <v>586</v>
      </c>
      <c r="K443" s="7" t="s">
        <v>587</v>
      </c>
      <c r="L443" s="7"/>
    </row>
    <row r="444" spans="1:12">
      <c r="F444" s="4"/>
      <c r="G444" s="4" t="s">
        <v>395</v>
      </c>
      <c r="H444" s="7" t="s">
        <v>416</v>
      </c>
      <c r="I444" s="7" t="str">
        <f>$E$440&amp;"-"&amp;本番リシテア内部[[#This Row],[サブネット]]</f>
        <v>vpc-advanced-lysithea-prd-internal-subnet-private-1c</v>
      </c>
      <c r="J444" s="7" t="s">
        <v>588</v>
      </c>
      <c r="K444" s="7" t="s">
        <v>589</v>
      </c>
      <c r="L444" s="7"/>
    </row>
    <row r="445" spans="1:12">
      <c r="F445" s="4"/>
      <c r="G445" s="4" t="s">
        <v>398</v>
      </c>
      <c r="H445" s="7" t="s">
        <v>423</v>
      </c>
      <c r="I445" s="7" t="str">
        <f>$E$440&amp;"-"&amp;本番リシテア内部[[#This Row],[サブネット]]</f>
        <v>vpc-advanced-lysithea-prd-internal-subnet-private-1d</v>
      </c>
      <c r="J445" s="7" t="s">
        <v>590</v>
      </c>
      <c r="K445" s="7" t="s">
        <v>591</v>
      </c>
      <c r="L445" s="7"/>
    </row>
    <row r="446" spans="1:12">
      <c r="F446" s="4"/>
      <c r="G446" s="4"/>
      <c r="H446" s="7"/>
      <c r="I446" s="7"/>
      <c r="J446" s="7"/>
    </row>
    <row r="447" spans="1:12">
      <c r="A447" t="s">
        <v>592</v>
      </c>
    </row>
    <row r="448" spans="1:12">
      <c r="B448" s="4" t="s">
        <v>402</v>
      </c>
      <c r="C448" s="4" t="s">
        <v>403</v>
      </c>
      <c r="D448" t="s">
        <v>376</v>
      </c>
      <c r="E448" s="4" t="s">
        <v>404</v>
      </c>
      <c r="F448" s="4" t="s">
        <v>405</v>
      </c>
      <c r="G448" s="4" t="s">
        <v>406</v>
      </c>
      <c r="H448" s="4" t="s">
        <v>407</v>
      </c>
      <c r="I448" t="s">
        <v>378</v>
      </c>
      <c r="J448" s="4" t="s">
        <v>408</v>
      </c>
      <c r="K448" s="43" t="s">
        <v>409</v>
      </c>
      <c r="L448" s="4"/>
    </row>
    <row r="449" spans="1:12">
      <c r="B449" t="s">
        <v>267</v>
      </c>
      <c r="C449" t="s">
        <v>593</v>
      </c>
      <c r="D449" s="1" t="s">
        <v>592</v>
      </c>
      <c r="E449" t="s">
        <v>594</v>
      </c>
      <c r="F449" s="4" t="s">
        <v>595</v>
      </c>
      <c r="G449" s="4" t="s">
        <v>385</v>
      </c>
      <c r="H449" s="4" t="s">
        <v>292</v>
      </c>
      <c r="I449" s="7" t="str">
        <f>$E$449&amp;"-"&amp;開発リシテア内部[[#This Row],[サブネット]]</f>
        <v>vpc-advanced-lysithea-dev-internal-subnet-protect-1a</v>
      </c>
      <c r="J449" s="7" t="s">
        <v>596</v>
      </c>
      <c r="K449" s="4" t="s">
        <v>597</v>
      </c>
      <c r="L449" s="4"/>
    </row>
    <row r="450" spans="1:12">
      <c r="F450" s="4"/>
      <c r="G450" s="4" t="s">
        <v>389</v>
      </c>
      <c r="H450" s="4" t="s">
        <v>416</v>
      </c>
      <c r="I450" s="4" t="str">
        <f>$E$449&amp;"-"&amp;開発リシテア内部[[#This Row],[サブネット]]</f>
        <v>vpc-advanced-lysithea-dev-internal-subnet-protect-1c</v>
      </c>
      <c r="J450" s="7" t="s">
        <v>598</v>
      </c>
      <c r="K450" s="4" t="s">
        <v>599</v>
      </c>
      <c r="L450" s="4"/>
    </row>
    <row r="451" spans="1:12">
      <c r="F451" s="4"/>
      <c r="G451" s="4" t="s">
        <v>434</v>
      </c>
      <c r="H451" s="4" t="s">
        <v>423</v>
      </c>
      <c r="I451" s="4" t="str">
        <f>$E$449&amp;"-"&amp;開発リシテア内部[[#This Row],[サブネット]]</f>
        <v>vpc-advanced-lysithea-dev-internal-subnet-protect-1d</v>
      </c>
      <c r="J451" s="7" t="s">
        <v>600</v>
      </c>
      <c r="K451" s="4" t="s">
        <v>601</v>
      </c>
      <c r="L451" s="4"/>
    </row>
    <row r="452" spans="1:12">
      <c r="F452" s="4"/>
      <c r="G452" s="4" t="s">
        <v>392</v>
      </c>
      <c r="H452" s="4" t="s">
        <v>292</v>
      </c>
      <c r="I452" s="4" t="str">
        <f>$E$449&amp;"-"&amp;開発リシテア内部[[#This Row],[サブネット]]</f>
        <v>vpc-advanced-lysithea-dev-internal-subnet-private-1a</v>
      </c>
      <c r="J452" s="7" t="s">
        <v>602</v>
      </c>
      <c r="K452" s="7" t="s">
        <v>603</v>
      </c>
      <c r="L452" s="4"/>
    </row>
    <row r="453" spans="1:12">
      <c r="F453" s="4"/>
      <c r="G453" s="4" t="s">
        <v>395</v>
      </c>
      <c r="H453" s="4" t="s">
        <v>416</v>
      </c>
      <c r="I453" s="4" t="str">
        <f>$E$449&amp;"-"&amp;開発リシテア内部[[#This Row],[サブネット]]</f>
        <v>vpc-advanced-lysithea-dev-internal-subnet-private-1c</v>
      </c>
      <c r="J453" s="7" t="s">
        <v>604</v>
      </c>
      <c r="K453" s="7" t="s">
        <v>605</v>
      </c>
      <c r="L453" s="4"/>
    </row>
    <row r="454" spans="1:12">
      <c r="F454" s="4"/>
      <c r="G454" s="4" t="s">
        <v>398</v>
      </c>
      <c r="H454" s="4" t="s">
        <v>423</v>
      </c>
      <c r="I454" s="4" t="str">
        <f>$E$449&amp;"-"&amp;開発リシテア内部[[#This Row],[サブネット]]</f>
        <v>vpc-advanced-lysithea-dev-internal-subnet-private-1d</v>
      </c>
      <c r="J454" s="7" t="s">
        <v>606</v>
      </c>
      <c r="K454" s="7" t="s">
        <v>607</v>
      </c>
      <c r="L454" s="4"/>
    </row>
    <row r="457" spans="1:12">
      <c r="A457" t="s">
        <v>734</v>
      </c>
    </row>
    <row r="458" spans="1:12">
      <c r="B458" t="s">
        <v>402</v>
      </c>
      <c r="C458" t="s">
        <v>403</v>
      </c>
      <c r="D458" t="s">
        <v>735</v>
      </c>
      <c r="E458" t="s">
        <v>404</v>
      </c>
      <c r="F458" t="s">
        <v>405</v>
      </c>
      <c r="G458" t="s">
        <v>406</v>
      </c>
      <c r="H458" t="s">
        <v>407</v>
      </c>
      <c r="I458" t="s">
        <v>378</v>
      </c>
      <c r="J458" t="s">
        <v>408</v>
      </c>
      <c r="K458" t="s">
        <v>409</v>
      </c>
    </row>
    <row r="459" spans="1:12">
      <c r="B459" t="s">
        <v>731</v>
      </c>
      <c r="C459" t="s">
        <v>821</v>
      </c>
      <c r="D459" t="s">
        <v>734</v>
      </c>
      <c r="E459" t="s">
        <v>737</v>
      </c>
      <c r="F459" t="s">
        <v>738</v>
      </c>
      <c r="G459" t="s">
        <v>739</v>
      </c>
      <c r="H459" t="s">
        <v>292</v>
      </c>
      <c r="I459" s="4" t="str">
        <f>$E$459&amp;"-"&amp;本番オールマイティ外部[[#This Row],[サブネット]]</f>
        <v>vpc-almighty-prd-subnet-public-1a</v>
      </c>
      <c r="J459" t="s">
        <v>740</v>
      </c>
      <c r="K459" t="s">
        <v>741</v>
      </c>
    </row>
    <row r="460" spans="1:12">
      <c r="G460" t="s">
        <v>742</v>
      </c>
      <c r="H460" t="s">
        <v>416</v>
      </c>
      <c r="I460" s="4" t="str">
        <f>$E$459&amp;"-"&amp;本番オールマイティ外部[[#This Row],[サブネット]]</f>
        <v>vpc-almighty-prd-subnet-public-1c</v>
      </c>
      <c r="J460" t="s">
        <v>743</v>
      </c>
      <c r="K460" t="s">
        <v>744</v>
      </c>
    </row>
    <row r="461" spans="1:12">
      <c r="G461" t="s">
        <v>745</v>
      </c>
      <c r="H461" t="s">
        <v>292</v>
      </c>
      <c r="I461" s="4" t="str">
        <f>$E$459&amp;"-"&amp;本番オールマイティ外部[[#This Row],[サブネット]]</f>
        <v>vpc-almighty-prd-subnet-protect-1a</v>
      </c>
      <c r="J461" t="s">
        <v>746</v>
      </c>
      <c r="K461" t="s">
        <v>747</v>
      </c>
    </row>
    <row r="462" spans="1:12">
      <c r="G462" t="s">
        <v>748</v>
      </c>
      <c r="H462" t="s">
        <v>416</v>
      </c>
      <c r="I462" s="4" t="str">
        <f>$E$459&amp;"-"&amp;本番オールマイティ外部[[#This Row],[サブネット]]</f>
        <v>vpc-almighty-prd-subnet-protect-1c</v>
      </c>
      <c r="J462" t="s">
        <v>749</v>
      </c>
      <c r="K462" t="s">
        <v>750</v>
      </c>
    </row>
    <row r="463" spans="1:12">
      <c r="G463" t="s">
        <v>751</v>
      </c>
      <c r="H463" t="s">
        <v>292</v>
      </c>
      <c r="I463" s="4" t="str">
        <f>$E$459&amp;"-"&amp;本番オールマイティ外部[[#This Row],[サブネット]]</f>
        <v>vpc-almighty-prd-subnet-private-1a</v>
      </c>
      <c r="J463" t="s">
        <v>752</v>
      </c>
      <c r="K463" t="s">
        <v>753</v>
      </c>
    </row>
    <row r="464" spans="1:12">
      <c r="G464" t="s">
        <v>754</v>
      </c>
      <c r="H464" t="s">
        <v>416</v>
      </c>
      <c r="I464" s="4" t="str">
        <f>$E$459&amp;"-"&amp;本番オールマイティ外部[[#This Row],[サブネット]]</f>
        <v>vpc-almighty-prd-subnet-private-1c</v>
      </c>
      <c r="J464" t="s">
        <v>755</v>
      </c>
      <c r="K464" t="s">
        <v>756</v>
      </c>
    </row>
    <row r="466" spans="1:11">
      <c r="A466" t="s">
        <v>757</v>
      </c>
    </row>
    <row r="467" spans="1:11">
      <c r="B467" t="s">
        <v>402</v>
      </c>
      <c r="C467" t="s">
        <v>403</v>
      </c>
      <c r="D467" t="s">
        <v>735</v>
      </c>
      <c r="E467" t="s">
        <v>404</v>
      </c>
      <c r="F467" t="s">
        <v>405</v>
      </c>
      <c r="G467" t="s">
        <v>406</v>
      </c>
      <c r="H467" t="s">
        <v>407</v>
      </c>
      <c r="I467" t="s">
        <v>378</v>
      </c>
      <c r="J467" t="s">
        <v>408</v>
      </c>
      <c r="K467" t="s">
        <v>409</v>
      </c>
    </row>
    <row r="468" spans="1:11">
      <c r="B468" t="s">
        <v>733</v>
      </c>
      <c r="C468" t="s">
        <v>736</v>
      </c>
      <c r="D468" t="s">
        <v>732</v>
      </c>
      <c r="E468" t="s">
        <v>758</v>
      </c>
      <c r="F468" t="s">
        <v>759</v>
      </c>
      <c r="G468" t="s">
        <v>739</v>
      </c>
      <c r="H468" t="s">
        <v>292</v>
      </c>
      <c r="I468" t="str">
        <f>$E$468&amp;"-"&amp;開発オールマイティ外部[[#This Row],[サブネット]]</f>
        <v>vpc-almighty-dev-subnet-public-1a</v>
      </c>
      <c r="J468" t="s">
        <v>760</v>
      </c>
      <c r="K468" t="s">
        <v>761</v>
      </c>
    </row>
    <row r="469" spans="1:11">
      <c r="G469" t="s">
        <v>742</v>
      </c>
      <c r="H469" t="s">
        <v>416</v>
      </c>
      <c r="I469" t="str">
        <f>$E$468&amp;"-"&amp;開発オールマイティ外部[[#This Row],[サブネット]]</f>
        <v>vpc-almighty-dev-subnet-public-1c</v>
      </c>
      <c r="J469" t="s">
        <v>762</v>
      </c>
      <c r="K469" t="s">
        <v>763</v>
      </c>
    </row>
    <row r="470" spans="1:11">
      <c r="G470" t="s">
        <v>745</v>
      </c>
      <c r="H470" t="s">
        <v>292</v>
      </c>
      <c r="I470" t="str">
        <f>$E$468&amp;"-"&amp;開発オールマイティ外部[[#This Row],[サブネット]]</f>
        <v>vpc-almighty-dev-subnet-protect-1a</v>
      </c>
      <c r="J470" t="s">
        <v>764</v>
      </c>
      <c r="K470" t="s">
        <v>765</v>
      </c>
    </row>
    <row r="471" spans="1:11">
      <c r="G471" t="s">
        <v>748</v>
      </c>
      <c r="H471" t="s">
        <v>416</v>
      </c>
      <c r="I471" t="str">
        <f>$E$468&amp;"-"&amp;開発オールマイティ外部[[#This Row],[サブネット]]</f>
        <v>vpc-almighty-dev-subnet-protect-1c</v>
      </c>
      <c r="J471" t="s">
        <v>766</v>
      </c>
      <c r="K471" t="s">
        <v>767</v>
      </c>
    </row>
    <row r="472" spans="1:11">
      <c r="G472" t="s">
        <v>751</v>
      </c>
      <c r="H472" t="s">
        <v>292</v>
      </c>
      <c r="I472" t="str">
        <f>$E$468&amp;"-"&amp;開発オールマイティ外部[[#This Row],[サブネット]]</f>
        <v>vpc-almighty-dev-subnet-private-1a</v>
      </c>
      <c r="J472" t="s">
        <v>768</v>
      </c>
      <c r="K472" t="s">
        <v>769</v>
      </c>
    </row>
    <row r="473" spans="1:11">
      <c r="G473" t="s">
        <v>754</v>
      </c>
      <c r="H473" t="s">
        <v>416</v>
      </c>
      <c r="I473" t="str">
        <f>$E$468&amp;"-"&amp;開発オールマイティ外部[[#This Row],[サブネット]]</f>
        <v>vpc-almighty-dev-subnet-private-1c</v>
      </c>
      <c r="J473" t="s">
        <v>770</v>
      </c>
      <c r="K473" t="s">
        <v>771</v>
      </c>
    </row>
    <row r="476" spans="1:11">
      <c r="A476" t="s">
        <v>989</v>
      </c>
    </row>
    <row r="477" spans="1:11">
      <c r="B477" t="s">
        <v>402</v>
      </c>
      <c r="C477" t="s">
        <v>403</v>
      </c>
      <c r="D477" t="s">
        <v>735</v>
      </c>
      <c r="E477" t="s">
        <v>404</v>
      </c>
      <c r="F477" t="s">
        <v>405</v>
      </c>
      <c r="G477" t="s">
        <v>406</v>
      </c>
      <c r="H477" t="s">
        <v>407</v>
      </c>
      <c r="I477" t="s">
        <v>378</v>
      </c>
      <c r="J477" t="s">
        <v>408</v>
      </c>
      <c r="K477" t="s">
        <v>409</v>
      </c>
    </row>
    <row r="478" spans="1:11">
      <c r="B478" t="s">
        <v>983</v>
      </c>
      <c r="C478" s="269" t="s">
        <v>1000</v>
      </c>
      <c r="D478" t="s">
        <v>989</v>
      </c>
      <c r="E478" t="s">
        <v>1004</v>
      </c>
      <c r="F478" t="s">
        <v>1003</v>
      </c>
      <c r="G478" t="s">
        <v>745</v>
      </c>
      <c r="H478" t="s">
        <v>292</v>
      </c>
      <c r="I478" s="4" t="str">
        <f>$E$478&amp;"-"&amp;本番オールマイティ外部14[[#This Row],[サブネット]]</f>
        <v>vpc-advanced-glovia-prd-internal-subnet-protect-1a</v>
      </c>
      <c r="J478" t="s">
        <v>1005</v>
      </c>
      <c r="K478" t="s">
        <v>1010</v>
      </c>
    </row>
    <row r="479" spans="1:11">
      <c r="G479" t="s">
        <v>748</v>
      </c>
      <c r="H479" t="s">
        <v>416</v>
      </c>
      <c r="I479" s="4" t="str">
        <f>$E$478&amp;"-"&amp;本番オールマイティ外部14[[#This Row],[サブネット]]</f>
        <v>vpc-advanced-glovia-prd-internal-subnet-protect-1c</v>
      </c>
      <c r="J479" t="s">
        <v>1006</v>
      </c>
      <c r="K479" t="s">
        <v>1011</v>
      </c>
    </row>
    <row r="480" spans="1:11">
      <c r="G480" t="s">
        <v>751</v>
      </c>
      <c r="H480" t="s">
        <v>292</v>
      </c>
      <c r="I480" s="4" t="str">
        <f>$E$478&amp;"-"&amp;本番オールマイティ外部14[[#This Row],[サブネット]]</f>
        <v>vpc-advanced-glovia-prd-internal-subnet-private-1a</v>
      </c>
      <c r="J480" t="s">
        <v>1007</v>
      </c>
      <c r="K480" t="s">
        <v>1012</v>
      </c>
    </row>
    <row r="481" spans="1:11">
      <c r="G481" t="s">
        <v>754</v>
      </c>
      <c r="H481" t="s">
        <v>416</v>
      </c>
      <c r="I481" s="4" t="str">
        <f>$E$478&amp;"-"&amp;本番オールマイティ外部14[[#This Row],[サブネット]]</f>
        <v>vpc-advanced-glovia-prd-internal-subnet-private-1c</v>
      </c>
      <c r="J481" t="s">
        <v>1008</v>
      </c>
      <c r="K481" t="s">
        <v>1009</v>
      </c>
    </row>
    <row r="483" spans="1:11">
      <c r="A483" t="s">
        <v>1001</v>
      </c>
    </row>
    <row r="484" spans="1:11">
      <c r="B484" t="s">
        <v>402</v>
      </c>
      <c r="C484" t="s">
        <v>403</v>
      </c>
      <c r="D484" t="s">
        <v>735</v>
      </c>
      <c r="E484" t="s">
        <v>404</v>
      </c>
      <c r="F484" t="s">
        <v>405</v>
      </c>
      <c r="G484" t="s">
        <v>406</v>
      </c>
      <c r="H484" t="s">
        <v>407</v>
      </c>
      <c r="I484" t="s">
        <v>378</v>
      </c>
      <c r="J484" t="s">
        <v>408</v>
      </c>
      <c r="K484" t="s">
        <v>409</v>
      </c>
    </row>
    <row r="485" spans="1:11">
      <c r="B485" t="s">
        <v>985</v>
      </c>
      <c r="C485" s="269" t="s">
        <v>1002</v>
      </c>
      <c r="D485" t="s">
        <v>986</v>
      </c>
      <c r="E485" t="s">
        <v>990</v>
      </c>
      <c r="F485" t="s">
        <v>991</v>
      </c>
      <c r="G485" t="s">
        <v>745</v>
      </c>
      <c r="H485" t="s">
        <v>292</v>
      </c>
      <c r="I485" s="4" t="str">
        <f>$E$485&amp;"-"&amp;開発オールマイティ外部15[[#This Row],[サブネット]]</f>
        <v>vpc-advanced-glovia-dev-internal-subnet-protect-1a</v>
      </c>
      <c r="J485" t="s">
        <v>992</v>
      </c>
      <c r="K485" t="s">
        <v>996</v>
      </c>
    </row>
    <row r="486" spans="1:11">
      <c r="G486" t="s">
        <v>748</v>
      </c>
      <c r="H486" t="s">
        <v>416</v>
      </c>
      <c r="I486" s="4" t="str">
        <f>$E$485&amp;"-"&amp;開発オールマイティ外部15[[#This Row],[サブネット]]</f>
        <v>vpc-advanced-glovia-dev-internal-subnet-protect-1c</v>
      </c>
      <c r="J486" t="s">
        <v>993</v>
      </c>
      <c r="K486" t="s">
        <v>997</v>
      </c>
    </row>
    <row r="487" spans="1:11">
      <c r="G487" t="s">
        <v>751</v>
      </c>
      <c r="H487" t="s">
        <v>292</v>
      </c>
      <c r="I487" s="4" t="str">
        <f>$E$485&amp;"-"&amp;開発オールマイティ外部15[[#This Row],[サブネット]]</f>
        <v>vpc-advanced-glovia-dev-internal-subnet-private-1a</v>
      </c>
      <c r="J487" t="s">
        <v>994</v>
      </c>
      <c r="K487" t="s">
        <v>998</v>
      </c>
    </row>
    <row r="488" spans="1:11">
      <c r="G488" t="s">
        <v>754</v>
      </c>
      <c r="H488" t="s">
        <v>416</v>
      </c>
      <c r="I488" s="4" t="str">
        <f>$E$485&amp;"-"&amp;開発オールマイティ外部15[[#This Row],[サブネット]]</f>
        <v>vpc-advanced-glovia-dev-internal-subnet-private-1c</v>
      </c>
      <c r="J488" t="s">
        <v>995</v>
      </c>
      <c r="K488" t="s">
        <v>999</v>
      </c>
    </row>
    <row r="490" spans="1:11">
      <c r="A490" t="s">
        <v>1060</v>
      </c>
    </row>
    <row r="491" spans="1:11">
      <c r="B491" t="s">
        <v>402</v>
      </c>
      <c r="C491" t="s">
        <v>403</v>
      </c>
      <c r="D491" t="s">
        <v>735</v>
      </c>
      <c r="E491" t="s">
        <v>404</v>
      </c>
      <c r="F491" t="s">
        <v>405</v>
      </c>
      <c r="G491" t="s">
        <v>406</v>
      </c>
      <c r="H491" t="s">
        <v>407</v>
      </c>
      <c r="I491" t="s">
        <v>378</v>
      </c>
      <c r="J491" t="s">
        <v>408</v>
      </c>
      <c r="K491" t="s">
        <v>409</v>
      </c>
    </row>
    <row r="492" spans="1:11">
      <c r="B492" t="s">
        <v>1066</v>
      </c>
      <c r="C492" s="269" t="s">
        <v>1068</v>
      </c>
      <c r="D492" t="s">
        <v>1067</v>
      </c>
      <c r="E492" t="s">
        <v>1069</v>
      </c>
      <c r="F492" t="s">
        <v>1070</v>
      </c>
      <c r="G492" t="s">
        <v>745</v>
      </c>
      <c r="H492" t="s">
        <v>292</v>
      </c>
      <c r="I492" s="4" t="str">
        <f>$E$492&amp;"-"&amp;開発オールマイティ外部1519[[#This Row],[サブネット]]</f>
        <v>vpc-advanced-hrdatawarehouse-prd-internal-subnet-protect-1a</v>
      </c>
      <c r="J492" t="s">
        <v>1071</v>
      </c>
      <c r="K492" t="s">
        <v>1083</v>
      </c>
    </row>
    <row r="493" spans="1:11">
      <c r="G493" t="s">
        <v>748</v>
      </c>
      <c r="H493" t="s">
        <v>416</v>
      </c>
      <c r="I493" s="4" t="str">
        <f>$E$492&amp;"-"&amp;開発オールマイティ外部1519[[#This Row],[サブネット]]</f>
        <v>vpc-advanced-hrdatawarehouse-prd-internal-subnet-protect-1c</v>
      </c>
      <c r="J493" t="s">
        <v>1073</v>
      </c>
      <c r="K493" t="s">
        <v>1082</v>
      </c>
    </row>
    <row r="494" spans="1:11">
      <c r="G494" t="s">
        <v>434</v>
      </c>
      <c r="H494" t="s">
        <v>294</v>
      </c>
      <c r="I494" s="4" t="str">
        <f>$E$492&amp;"-"&amp;開発オールマイティ外部1519[[#This Row],[サブネット]]</f>
        <v>vpc-advanced-hrdatawarehouse-prd-internal-subnet-protect-1d</v>
      </c>
      <c r="J494" s="45" t="s">
        <v>1074</v>
      </c>
      <c r="K494" t="s">
        <v>1081</v>
      </c>
    </row>
    <row r="495" spans="1:11">
      <c r="G495" t="s">
        <v>751</v>
      </c>
      <c r="H495" t="s">
        <v>292</v>
      </c>
      <c r="I495" s="4" t="str">
        <f>$E$492&amp;"-"&amp;開発オールマイティ外部1519[[#This Row],[サブネット]]</f>
        <v>vpc-advanced-hrdatawarehouse-prd-internal-subnet-private-1a</v>
      </c>
      <c r="J495" t="s">
        <v>1075</v>
      </c>
      <c r="K495" t="s">
        <v>1080</v>
      </c>
    </row>
    <row r="496" spans="1:11">
      <c r="G496" t="s">
        <v>754</v>
      </c>
      <c r="H496" t="s">
        <v>416</v>
      </c>
      <c r="I496" s="4" t="str">
        <f>$E$492&amp;"-"&amp;開発オールマイティ外部1519[[#This Row],[サブネット]]</f>
        <v>vpc-advanced-hrdatawarehouse-prd-internal-subnet-private-1c</v>
      </c>
      <c r="J496" t="s">
        <v>1076</v>
      </c>
      <c r="K496" t="s">
        <v>1079</v>
      </c>
    </row>
    <row r="497" spans="1:11">
      <c r="G497" t="s">
        <v>398</v>
      </c>
      <c r="H497" t="s">
        <v>294</v>
      </c>
      <c r="I497" t="str">
        <f>$E$492&amp;"-"&amp;開発オールマイティ外部1519[[#This Row],[サブネット]]</f>
        <v>vpc-advanced-hrdatawarehouse-prd-internal-subnet-private-1d</v>
      </c>
      <c r="J497" t="s">
        <v>1077</v>
      </c>
      <c r="K497" t="s">
        <v>1078</v>
      </c>
    </row>
    <row r="499" spans="1:11">
      <c r="A499" t="s">
        <v>1084</v>
      </c>
    </row>
    <row r="500" spans="1:11">
      <c r="B500" t="s">
        <v>402</v>
      </c>
      <c r="C500" t="s">
        <v>403</v>
      </c>
      <c r="D500" t="s">
        <v>735</v>
      </c>
      <c r="E500" t="s">
        <v>404</v>
      </c>
      <c r="F500" t="s">
        <v>405</v>
      </c>
      <c r="G500" t="s">
        <v>406</v>
      </c>
      <c r="H500" t="s">
        <v>407</v>
      </c>
      <c r="I500" t="s">
        <v>378</v>
      </c>
      <c r="J500" t="s">
        <v>408</v>
      </c>
      <c r="K500" t="s">
        <v>409</v>
      </c>
    </row>
    <row r="501" spans="1:11">
      <c r="B501" t="s">
        <v>1063</v>
      </c>
      <c r="C501" s="269" t="s">
        <v>1085</v>
      </c>
      <c r="D501" t="s">
        <v>1084</v>
      </c>
      <c r="E501" t="s">
        <v>1086</v>
      </c>
      <c r="F501" t="s">
        <v>1087</v>
      </c>
      <c r="G501" t="s">
        <v>745</v>
      </c>
      <c r="H501" t="s">
        <v>292</v>
      </c>
      <c r="I501" s="4" t="str">
        <f>$E$501&amp;"-"&amp;開発オールマイティ外部151920[[#This Row],[サブネット]]</f>
        <v>vpc-advanced-hrdatawarehouse-dev-internal-subnet-protect-1a</v>
      </c>
      <c r="J501" t="s">
        <v>1088</v>
      </c>
      <c r="K501" t="s">
        <v>1089</v>
      </c>
    </row>
    <row r="502" spans="1:11">
      <c r="G502" t="s">
        <v>748</v>
      </c>
      <c r="H502" t="s">
        <v>416</v>
      </c>
      <c r="I502" s="4" t="str">
        <f>$E$501&amp;"-"&amp;開発オールマイティ外部151920[[#This Row],[サブネット]]</f>
        <v>vpc-advanced-hrdatawarehouse-dev-internal-subnet-protect-1c</v>
      </c>
      <c r="J502" t="s">
        <v>1090</v>
      </c>
      <c r="K502" t="s">
        <v>1091</v>
      </c>
    </row>
    <row r="503" spans="1:11">
      <c r="G503" t="s">
        <v>434</v>
      </c>
      <c r="H503" t="s">
        <v>294</v>
      </c>
      <c r="I503" s="4" t="str">
        <f>$E$501&amp;"-"&amp;開発オールマイティ外部151920[[#This Row],[サブネット]]</f>
        <v>vpc-advanced-hrdatawarehouse-dev-internal-subnet-protect-1d</v>
      </c>
      <c r="J503" s="45" t="s">
        <v>1092</v>
      </c>
      <c r="K503" t="s">
        <v>1093</v>
      </c>
    </row>
    <row r="504" spans="1:11">
      <c r="G504" t="s">
        <v>751</v>
      </c>
      <c r="H504" t="s">
        <v>292</v>
      </c>
      <c r="I504" s="4" t="str">
        <f>$E$501&amp;"-"&amp;開発オールマイティ外部151920[[#This Row],[サブネット]]</f>
        <v>vpc-advanced-hrdatawarehouse-dev-internal-subnet-private-1a</v>
      </c>
      <c r="J504" t="s">
        <v>1094</v>
      </c>
      <c r="K504" t="s">
        <v>1095</v>
      </c>
    </row>
    <row r="505" spans="1:11">
      <c r="G505" t="s">
        <v>754</v>
      </c>
      <c r="H505" t="s">
        <v>416</v>
      </c>
      <c r="I505" s="4" t="str">
        <f>$E$501&amp;"-"&amp;開発オールマイティ外部151920[[#This Row],[サブネット]]</f>
        <v>vpc-advanced-hrdatawarehouse-dev-internal-subnet-private-1c</v>
      </c>
      <c r="J505" t="s">
        <v>1098</v>
      </c>
      <c r="K505" t="s">
        <v>1099</v>
      </c>
    </row>
    <row r="506" spans="1:11">
      <c r="G506" t="s">
        <v>398</v>
      </c>
      <c r="H506" t="s">
        <v>294</v>
      </c>
      <c r="I506" t="str">
        <f>$E$501&amp;"-"&amp;開発オールマイティ外部151920[[#This Row],[サブネット]]</f>
        <v>vpc-advanced-hrdatawarehouse-dev-internal-subnet-private-1d</v>
      </c>
      <c r="J506" t="s">
        <v>1096</v>
      </c>
      <c r="K506" t="s">
        <v>1097</v>
      </c>
    </row>
    <row r="508" spans="1:11">
      <c r="A508" t="s">
        <v>1100</v>
      </c>
    </row>
    <row r="509" spans="1:11">
      <c r="B509" t="s">
        <v>402</v>
      </c>
      <c r="C509" t="s">
        <v>403</v>
      </c>
      <c r="D509" t="s">
        <v>735</v>
      </c>
      <c r="E509" t="s">
        <v>404</v>
      </c>
      <c r="F509" t="s">
        <v>405</v>
      </c>
      <c r="G509" t="s">
        <v>406</v>
      </c>
      <c r="H509" t="s">
        <v>407</v>
      </c>
      <c r="I509" t="s">
        <v>378</v>
      </c>
      <c r="J509" t="s">
        <v>408</v>
      </c>
      <c r="K509" t="s">
        <v>409</v>
      </c>
    </row>
    <row r="510" spans="1:11">
      <c r="B510" t="s">
        <v>1065</v>
      </c>
      <c r="C510" s="269" t="s">
        <v>1101</v>
      </c>
      <c r="D510" t="s">
        <v>1064</v>
      </c>
      <c r="E510" t="s">
        <v>1102</v>
      </c>
      <c r="F510" t="s">
        <v>1103</v>
      </c>
      <c r="G510" t="s">
        <v>745</v>
      </c>
      <c r="H510" t="s">
        <v>292</v>
      </c>
      <c r="I510" s="4" t="str">
        <f>$E$510&amp;"-"&amp;開発オールマイティ外部15192021[[#This Row],[サブネット]]</f>
        <v xml:space="preserve"> vpc-advanced-fortigatesc01-dev-internal-subnet-protect-1a</v>
      </c>
      <c r="J510" t="s">
        <v>1104</v>
      </c>
      <c r="K510" t="s">
        <v>1105</v>
      </c>
    </row>
    <row r="511" spans="1:11">
      <c r="G511" t="s">
        <v>748</v>
      </c>
      <c r="H511" t="s">
        <v>416</v>
      </c>
      <c r="I511" s="4" t="str">
        <f>$E$510&amp;"-"&amp;開発オールマイティ外部15192021[[#This Row],[サブネット]]</f>
        <v xml:space="preserve"> vpc-advanced-fortigatesc01-dev-internal-subnet-protect-1c</v>
      </c>
      <c r="J511" t="s">
        <v>1106</v>
      </c>
      <c r="K511" t="s">
        <v>1107</v>
      </c>
    </row>
    <row r="512" spans="1:11">
      <c r="G512" t="s">
        <v>751</v>
      </c>
      <c r="H512" t="s">
        <v>292</v>
      </c>
      <c r="I512" s="4" t="str">
        <f>$E$510&amp;"-"&amp;開発オールマイティ外部15192021[[#This Row],[サブネット]]</f>
        <v xml:space="preserve"> vpc-advanced-fortigatesc01-dev-internal-subnet-private-1a</v>
      </c>
      <c r="J512" t="s">
        <v>1108</v>
      </c>
      <c r="K512" t="s">
        <v>1109</v>
      </c>
    </row>
    <row r="513" spans="1:11">
      <c r="G513" t="s">
        <v>754</v>
      </c>
      <c r="H513" t="s">
        <v>416</v>
      </c>
      <c r="I513" s="4" t="str">
        <f>$E$510&amp;"-"&amp;開発オールマイティ外部15192021[[#This Row],[サブネット]]</f>
        <v xml:space="preserve"> vpc-advanced-fortigatesc01-dev-internal-subnet-private-1c</v>
      </c>
      <c r="J513" t="s">
        <v>1110</v>
      </c>
      <c r="K513" t="s">
        <v>1111</v>
      </c>
    </row>
    <row r="515" spans="1:11">
      <c r="A515" t="s">
        <v>1112</v>
      </c>
    </row>
    <row r="516" spans="1:11">
      <c r="B516" t="s">
        <v>402</v>
      </c>
      <c r="C516" t="s">
        <v>403</v>
      </c>
      <c r="D516" t="s">
        <v>735</v>
      </c>
      <c r="E516" t="s">
        <v>404</v>
      </c>
      <c r="F516" t="s">
        <v>405</v>
      </c>
      <c r="G516" t="s">
        <v>406</v>
      </c>
      <c r="H516" t="s">
        <v>407</v>
      </c>
      <c r="I516" t="s">
        <v>378</v>
      </c>
      <c r="J516" t="s">
        <v>408</v>
      </c>
      <c r="K516" t="s">
        <v>409</v>
      </c>
    </row>
    <row r="517" spans="1:11">
      <c r="B517" t="s">
        <v>1129</v>
      </c>
      <c r="C517" s="269" t="s">
        <v>1117</v>
      </c>
      <c r="D517" t="s">
        <v>1112</v>
      </c>
      <c r="E517" t="s">
        <v>1118</v>
      </c>
      <c r="F517" t="s">
        <v>1119</v>
      </c>
      <c r="G517" t="s">
        <v>745</v>
      </c>
      <c r="H517" t="s">
        <v>292</v>
      </c>
      <c r="I517" s="4" t="str">
        <f>$E$517&amp;"-"&amp;開発オールマイティ外部15192022[[#This Row],[サブネット]]</f>
        <v>vpc-advanced-dataplatform-prd-internal-subnet-protect-1a</v>
      </c>
      <c r="J517" t="s">
        <v>1120</v>
      </c>
      <c r="K517" t="s">
        <v>1121</v>
      </c>
    </row>
    <row r="518" spans="1:11">
      <c r="G518" t="s">
        <v>748</v>
      </c>
      <c r="H518" t="s">
        <v>416</v>
      </c>
      <c r="I518" s="4" t="str">
        <f>$E$517&amp;"-"&amp;開発オールマイティ外部15192022[[#This Row],[サブネット]]</f>
        <v>vpc-advanced-dataplatform-prd-internal-subnet-protect-1c</v>
      </c>
      <c r="J518" t="s">
        <v>1122</v>
      </c>
      <c r="K518" t="s">
        <v>1123</v>
      </c>
    </row>
    <row r="519" spans="1:11">
      <c r="G519" t="s">
        <v>751</v>
      </c>
      <c r="H519" t="s">
        <v>292</v>
      </c>
      <c r="I519" s="4" t="str">
        <f>$E$517&amp;"-"&amp;開発オールマイティ外部15192022[[#This Row],[サブネット]]</f>
        <v>vpc-advanced-dataplatform-prd-internal-subnet-private-1a</v>
      </c>
      <c r="J519" t="s">
        <v>1124</v>
      </c>
      <c r="K519" t="s">
        <v>1125</v>
      </c>
    </row>
    <row r="520" spans="1:11">
      <c r="G520" t="s">
        <v>754</v>
      </c>
      <c r="H520" t="s">
        <v>416</v>
      </c>
      <c r="I520" s="4" t="str">
        <f>$E$517&amp;"-"&amp;開発オールマイティ外部15192022[[#This Row],[サブネット]]</f>
        <v>vpc-advanced-dataplatform-prd-internal-subnet-private-1c</v>
      </c>
      <c r="J520" t="s">
        <v>1126</v>
      </c>
      <c r="K520" t="s">
        <v>1127</v>
      </c>
    </row>
    <row r="522" spans="1:11">
      <c r="A522" t="s">
        <v>1114</v>
      </c>
    </row>
    <row r="523" spans="1:11">
      <c r="B523" t="s">
        <v>402</v>
      </c>
      <c r="C523" t="s">
        <v>403</v>
      </c>
      <c r="D523" t="s">
        <v>735</v>
      </c>
      <c r="E523" t="s">
        <v>404</v>
      </c>
      <c r="F523" t="s">
        <v>405</v>
      </c>
      <c r="G523" t="s">
        <v>406</v>
      </c>
      <c r="H523" t="s">
        <v>407</v>
      </c>
      <c r="I523" t="s">
        <v>378</v>
      </c>
      <c r="J523" t="s">
        <v>408</v>
      </c>
      <c r="K523" t="s">
        <v>409</v>
      </c>
    </row>
    <row r="524" spans="1:11">
      <c r="B524" t="s">
        <v>1116</v>
      </c>
      <c r="C524" s="269" t="s">
        <v>1128</v>
      </c>
      <c r="D524" t="s">
        <v>1114</v>
      </c>
      <c r="E524" t="s">
        <v>1130</v>
      </c>
      <c r="F524" t="s">
        <v>1131</v>
      </c>
      <c r="G524" t="s">
        <v>745</v>
      </c>
      <c r="H524" t="s">
        <v>292</v>
      </c>
      <c r="I524" s="4" t="str">
        <f>$E$524&amp;"-"&amp;開発オールマイティ外部1519202223[[#This Row],[サブネット]]</f>
        <v>vpc-advanced-dataplatform-dev-internal-subnet-protect-1a</v>
      </c>
      <c r="J524" t="s">
        <v>1132</v>
      </c>
      <c r="K524" t="s">
        <v>1133</v>
      </c>
    </row>
    <row r="525" spans="1:11">
      <c r="G525" t="s">
        <v>748</v>
      </c>
      <c r="H525" t="s">
        <v>416</v>
      </c>
      <c r="I525" s="4" t="str">
        <f>$E$524&amp;"-"&amp;開発オールマイティ外部1519202223[[#This Row],[サブネット]]</f>
        <v>vpc-advanced-dataplatform-dev-internal-subnet-protect-1c</v>
      </c>
      <c r="J525" t="s">
        <v>1134</v>
      </c>
      <c r="K525" t="s">
        <v>1135</v>
      </c>
    </row>
    <row r="526" spans="1:11">
      <c r="G526" t="s">
        <v>751</v>
      </c>
      <c r="H526" t="s">
        <v>292</v>
      </c>
      <c r="I526" s="4" t="str">
        <f>$E$524&amp;"-"&amp;開発オールマイティ外部1519202223[[#This Row],[サブネット]]</f>
        <v>vpc-advanced-dataplatform-dev-internal-subnet-private-1a</v>
      </c>
      <c r="J526" t="s">
        <v>1136</v>
      </c>
      <c r="K526" t="s">
        <v>1137</v>
      </c>
    </row>
    <row r="527" spans="1:11">
      <c r="G527" t="s">
        <v>754</v>
      </c>
      <c r="H527" t="s">
        <v>416</v>
      </c>
      <c r="I527" s="4" t="str">
        <f>$E$524&amp;"-"&amp;開発オールマイティ外部1519202223[[#This Row],[サブネット]]</f>
        <v>vpc-advanced-dataplatform-dev-internal-subnet-private-1c</v>
      </c>
      <c r="J527" t="s">
        <v>1138</v>
      </c>
      <c r="K527" t="s">
        <v>1139</v>
      </c>
    </row>
    <row r="529" spans="1:11">
      <c r="A529" t="s">
        <v>1141</v>
      </c>
    </row>
    <row r="530" spans="1:11">
      <c r="B530" t="s">
        <v>402</v>
      </c>
      <c r="C530" t="s">
        <v>403</v>
      </c>
      <c r="D530" t="s">
        <v>735</v>
      </c>
      <c r="E530" t="s">
        <v>404</v>
      </c>
      <c r="F530" t="s">
        <v>405</v>
      </c>
      <c r="G530" t="s">
        <v>406</v>
      </c>
      <c r="H530" t="s">
        <v>407</v>
      </c>
      <c r="I530" t="s">
        <v>378</v>
      </c>
      <c r="J530" t="s">
        <v>408</v>
      </c>
      <c r="K530" t="s">
        <v>409</v>
      </c>
    </row>
    <row r="531" spans="1:11">
      <c r="B531" t="s">
        <v>1156</v>
      </c>
      <c r="C531" s="269" t="s">
        <v>1155</v>
      </c>
      <c r="D531" t="s">
        <v>1141</v>
      </c>
      <c r="E531" t="s">
        <v>1157</v>
      </c>
      <c r="F531" t="s">
        <v>1158</v>
      </c>
      <c r="G531" t="s">
        <v>745</v>
      </c>
      <c r="H531" t="s">
        <v>292</v>
      </c>
      <c r="I531" s="4" t="str">
        <f>$E$531&amp;"-"&amp;本番オールマイティ外部1419[[#This Row],[サブネット]]</f>
        <v>vpc-advanced-rpa-prd-internal-subnet-protect-1a</v>
      </c>
      <c r="J531" t="s">
        <v>1160</v>
      </c>
      <c r="K531" t="s">
        <v>1159</v>
      </c>
    </row>
    <row r="532" spans="1:11">
      <c r="G532" t="s">
        <v>748</v>
      </c>
      <c r="H532" t="s">
        <v>416</v>
      </c>
      <c r="I532" s="4" t="str">
        <f>$E$531&amp;"-"&amp;本番オールマイティ外部1419[[#This Row],[サブネット]]</f>
        <v>vpc-advanced-rpa-prd-internal-subnet-protect-1c</v>
      </c>
      <c r="J532" t="s">
        <v>1161</v>
      </c>
      <c r="K532" t="s">
        <v>1162</v>
      </c>
    </row>
    <row r="533" spans="1:11">
      <c r="G533" t="s">
        <v>751</v>
      </c>
      <c r="H533" t="s">
        <v>292</v>
      </c>
      <c r="I533" s="4" t="str">
        <f>$E$531&amp;"-"&amp;本番オールマイティ外部1419[[#This Row],[サブネット]]</f>
        <v>vpc-advanced-rpa-prd-internal-subnet-private-1a</v>
      </c>
      <c r="J533" t="s">
        <v>1164</v>
      </c>
      <c r="K533" t="s">
        <v>1163</v>
      </c>
    </row>
    <row r="534" spans="1:11">
      <c r="G534" t="s">
        <v>754</v>
      </c>
      <c r="H534" t="s">
        <v>416</v>
      </c>
      <c r="I534" s="4" t="str">
        <f>$E$531&amp;"-"&amp;本番オールマイティ外部1419[[#This Row],[サブネット]]</f>
        <v>vpc-advanced-rpa-prd-internal-subnet-private-1c</v>
      </c>
      <c r="J534" t="s">
        <v>1166</v>
      </c>
      <c r="K534" t="s">
        <v>1165</v>
      </c>
    </row>
    <row r="536" spans="1:11">
      <c r="A536" t="s">
        <v>1142</v>
      </c>
    </row>
    <row r="537" spans="1:11">
      <c r="B537" t="s">
        <v>402</v>
      </c>
      <c r="C537" t="s">
        <v>403</v>
      </c>
      <c r="D537" t="s">
        <v>735</v>
      </c>
      <c r="E537" t="s">
        <v>404</v>
      </c>
      <c r="F537" t="s">
        <v>405</v>
      </c>
      <c r="G537" t="s">
        <v>406</v>
      </c>
      <c r="H537" t="s">
        <v>407</v>
      </c>
      <c r="I537" t="s">
        <v>378</v>
      </c>
      <c r="J537" t="s">
        <v>408</v>
      </c>
      <c r="K537" t="s">
        <v>409</v>
      </c>
    </row>
    <row r="538" spans="1:11">
      <c r="B538" t="s">
        <v>987</v>
      </c>
      <c r="C538" s="269" t="s">
        <v>1143</v>
      </c>
      <c r="D538" t="s">
        <v>988</v>
      </c>
      <c r="E538" t="s">
        <v>1144</v>
      </c>
      <c r="F538" t="s">
        <v>1145</v>
      </c>
      <c r="G538" t="s">
        <v>385</v>
      </c>
      <c r="H538" t="s">
        <v>292</v>
      </c>
      <c r="I538" s="4" t="str">
        <f>$E$538&amp;"-"&amp;開発オールマイティ外部152021[[#This Row],[サブネット]]</f>
        <v>vpc-advanced-rpa-dev-internal-subnet-protect-1a</v>
      </c>
      <c r="J538" t="s">
        <v>1146</v>
      </c>
      <c r="K538" t="s">
        <v>1147</v>
      </c>
    </row>
    <row r="539" spans="1:11">
      <c r="G539" t="s">
        <v>748</v>
      </c>
      <c r="H539" t="s">
        <v>416</v>
      </c>
      <c r="I539" s="4" t="str">
        <f>$E$538&amp;"-"&amp;開発オールマイティ外部152021[[#This Row],[サブネット]]</f>
        <v>vpc-advanced-rpa-dev-internal-subnet-protect-1c</v>
      </c>
      <c r="J539" t="s">
        <v>1148</v>
      </c>
      <c r="K539" t="s">
        <v>1149</v>
      </c>
    </row>
    <row r="540" spans="1:11">
      <c r="G540" t="s">
        <v>751</v>
      </c>
      <c r="H540" t="s">
        <v>292</v>
      </c>
      <c r="I540" s="4" t="str">
        <f>$E$538&amp;"-"&amp;開発オールマイティ外部152021[[#This Row],[サブネット]]</f>
        <v>vpc-advanced-rpa-dev-internal-subnet-private-1a</v>
      </c>
      <c r="J540" t="s">
        <v>1150</v>
      </c>
      <c r="K540" t="s">
        <v>1151</v>
      </c>
    </row>
    <row r="541" spans="1:11">
      <c r="G541" t="s">
        <v>754</v>
      </c>
      <c r="H541" t="s">
        <v>416</v>
      </c>
      <c r="I541" s="4" t="str">
        <f>$E$538&amp;"-"&amp;開発オールマイティ外部152021[[#This Row],[サブネット]]</f>
        <v>vpc-advanced-rpa-dev-internal-subnet-private-1c</v>
      </c>
      <c r="J541" t="s">
        <v>1152</v>
      </c>
      <c r="K541" t="s">
        <v>1153</v>
      </c>
    </row>
  </sheetData>
  <phoneticPr fontId="1"/>
  <pageMargins left="0.7" right="0.7" top="0.75" bottom="0.75" header="0.3" footer="0.3"/>
  <pageSetup paperSize="9" orientation="portrait" r:id="rId1"/>
  <drawing r:id="rId2"/>
  <tableParts count="4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3CA4-3D30-479F-AE33-653FAD37BF7D}">
  <dimension ref="A1:AE2"/>
  <sheetViews>
    <sheetView tabSelected="1" zoomScale="115" zoomScaleNormal="115" workbookViewId="0">
      <selection activeCell="C10" sqref="C10"/>
    </sheetView>
  </sheetViews>
  <sheetFormatPr defaultRowHeight="18"/>
  <cols>
    <col min="7" max="7" width="20" customWidth="1"/>
    <col min="8" max="8" width="19.75" customWidth="1"/>
    <col min="9" max="9" width="22.58203125" customWidth="1"/>
    <col min="10" max="10" width="25.58203125" customWidth="1"/>
    <col min="11" max="11" width="22.08203125" customWidth="1"/>
    <col min="12" max="12" width="19.83203125" customWidth="1"/>
    <col min="13" max="13" width="21.75" customWidth="1"/>
    <col min="14" max="14" width="32.08203125" customWidth="1"/>
    <col min="15" max="15" width="22.25" customWidth="1"/>
    <col min="16" max="16" width="18.1640625" customWidth="1"/>
    <col min="17" max="17" width="19.4140625" customWidth="1"/>
    <col min="18" max="18" width="20.83203125" customWidth="1"/>
    <col min="19" max="19" width="19" customWidth="1"/>
    <col min="20" max="20" width="16.75" customWidth="1"/>
    <col min="21" max="21" width="14" customWidth="1"/>
    <col min="22" max="22" width="14.25" customWidth="1"/>
    <col min="23" max="23" width="12.5" customWidth="1"/>
    <col min="26" max="26" width="19.58203125" customWidth="1"/>
  </cols>
  <sheetData>
    <row r="1" spans="1:31" ht="27" thickTop="1" thickBot="1">
      <c r="A1" s="295" t="s">
        <v>1177</v>
      </c>
      <c r="B1" s="296" t="s">
        <v>1178</v>
      </c>
      <c r="C1" s="295" t="s">
        <v>1179</v>
      </c>
      <c r="D1" s="295" t="s">
        <v>1180</v>
      </c>
      <c r="E1" s="295">
        <v>117</v>
      </c>
      <c r="F1" s="295" t="s">
        <v>404</v>
      </c>
      <c r="G1" s="295" t="s">
        <v>1181</v>
      </c>
      <c r="H1" s="295" t="s">
        <v>1182</v>
      </c>
      <c r="I1" s="295" t="s">
        <v>1183</v>
      </c>
      <c r="J1" s="295" t="s">
        <v>1184</v>
      </c>
      <c r="K1" s="295" t="s">
        <v>1185</v>
      </c>
      <c r="L1" s="295" t="s">
        <v>1186</v>
      </c>
      <c r="M1" s="295" t="s">
        <v>1187</v>
      </c>
      <c r="N1" s="297" t="s">
        <v>1188</v>
      </c>
      <c r="O1" s="295" t="s">
        <v>1189</v>
      </c>
      <c r="P1" s="295" t="s">
        <v>1190</v>
      </c>
      <c r="Q1" s="295" t="s">
        <v>1191</v>
      </c>
      <c r="R1" s="295" t="s">
        <v>1192</v>
      </c>
      <c r="S1" s="295" t="s">
        <v>1193</v>
      </c>
      <c r="T1" s="295" t="s">
        <v>1194</v>
      </c>
      <c r="U1" s="295" t="s">
        <v>1195</v>
      </c>
      <c r="V1" s="295" t="s">
        <v>1196</v>
      </c>
      <c r="W1" s="295" t="s">
        <v>1197</v>
      </c>
      <c r="X1" s="295"/>
      <c r="Y1" s="298" t="s">
        <v>1198</v>
      </c>
      <c r="Z1" s="298" t="s">
        <v>1199</v>
      </c>
      <c r="AA1" s="299" t="s">
        <v>1200</v>
      </c>
      <c r="AB1" s="299" t="s">
        <v>1201</v>
      </c>
      <c r="AC1" s="295" t="s">
        <v>1202</v>
      </c>
      <c r="AD1" s="295" t="s">
        <v>1203</v>
      </c>
      <c r="AE1" s="300" t="s">
        <v>1204</v>
      </c>
    </row>
    <row r="2" spans="1:31" ht="18.5" thickTop="1">
      <c r="B2" t="s">
        <v>1205</v>
      </c>
      <c r="C2">
        <v>172</v>
      </c>
      <c r="G2" t="s">
        <v>1206</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BC21D0-6B7D-4377-A5A5-F7A548ADEB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ヒアリングシート(Windows)_old</vt:lpstr>
      <vt:lpstr>改版履歴</vt:lpstr>
      <vt:lpstr>ヒアリングシート(Windows)</vt:lpstr>
      <vt:lpstr>ユーザ共有シート(Windows)</vt:lpstr>
      <vt:lpstr>データ共有シート(Windows)</vt:lpstr>
      <vt:lpstr>データ管理シート</vt:lpstr>
      <vt:lpstr>管理帳登録用</vt:lpstr>
      <vt:lpstr>'ユーザ共有シート(Windows)'!Print_Area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XINPENG HUANG</cp:lastModifiedBy>
  <cp:revision/>
  <cp:lastPrinted>2026-03-23T14:27:40Z</cp:lastPrinted>
  <dcterms:created xsi:type="dcterms:W3CDTF">2020-06-23T10:19:28Z</dcterms:created>
  <dcterms:modified xsi:type="dcterms:W3CDTF">2026-10-02T07:06:43Z</dcterms:modified>
  <cp:category/>
  <cp:contentStatus/>
</cp:coreProperties>
</file>